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/>
  <xr:revisionPtr revIDLastSave="0" documentId="13_ncr:1_{10609333-E9D7-4578-A012-C825F3E5F14A}" xr6:coauthVersionLast="47" xr6:coauthVersionMax="47" xr10:uidLastSave="{00000000-0000-0000-0000-000000000000}"/>
  <bookViews>
    <workbookView xWindow="-120" yWindow="-120" windowWidth="29040" windowHeight="15720" tabRatio="666" activeTab="2" xr2:uid="{00000000-000D-0000-FFFF-FFFF00000000}"/>
  </bookViews>
  <sheets>
    <sheet name="Indicadores" sheetId="6" r:id="rId1"/>
    <sheet name="Detalhado" sheetId="8" r:id="rId2"/>
    <sheet name="Ver-Iniciação1" sheetId="5" r:id="rId3"/>
    <sheet name="Ver-Elaboração1" sheetId="2" r:id="rId4"/>
    <sheet name="Ver-Construção1" sheetId="3" r:id="rId5"/>
    <sheet name="Ver-Transição1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4" l="1"/>
  <c r="J37" i="4"/>
  <c r="I37" i="4"/>
  <c r="H37" i="4"/>
  <c r="G37" i="4"/>
  <c r="J42" i="4"/>
  <c r="I42" i="4"/>
  <c r="H42" i="4"/>
  <c r="G42" i="4"/>
  <c r="J31" i="4"/>
  <c r="I31" i="4"/>
  <c r="H31" i="4"/>
  <c r="P35" i="8" s="1"/>
  <c r="G29" i="4"/>
  <c r="J29" i="4"/>
  <c r="I29" i="4"/>
  <c r="H29" i="4"/>
  <c r="O34" i="8" s="1"/>
  <c r="J26" i="4"/>
  <c r="I26" i="4"/>
  <c r="H26" i="4"/>
  <c r="G26" i="4"/>
  <c r="N33" i="8" s="1"/>
  <c r="J23" i="4"/>
  <c r="I23" i="4"/>
  <c r="H23" i="4"/>
  <c r="G23" i="4"/>
  <c r="N32" i="8" s="1"/>
  <c r="J18" i="4"/>
  <c r="I18" i="4"/>
  <c r="H18" i="4"/>
  <c r="G18" i="4"/>
  <c r="N31" i="8" s="1"/>
  <c r="J10" i="4"/>
  <c r="I10" i="4"/>
  <c r="H10" i="4"/>
  <c r="G10" i="4"/>
  <c r="N27" i="8" s="1"/>
  <c r="J16" i="4"/>
  <c r="I16" i="4"/>
  <c r="H16" i="4"/>
  <c r="G16" i="4"/>
  <c r="N30" i="8" s="1"/>
  <c r="Q29" i="8"/>
  <c r="P29" i="8"/>
  <c r="O29" i="8"/>
  <c r="N29" i="8"/>
  <c r="J14" i="4"/>
  <c r="I14" i="4"/>
  <c r="H14" i="4"/>
  <c r="G14" i="4"/>
  <c r="N28" i="8" s="1"/>
  <c r="J8" i="4"/>
  <c r="I8" i="4"/>
  <c r="H8" i="4"/>
  <c r="G8" i="4"/>
  <c r="H6" i="4"/>
  <c r="J6" i="4"/>
  <c r="I6" i="4"/>
  <c r="G6" i="4"/>
  <c r="P25" i="8" s="1"/>
  <c r="G6" i="3"/>
  <c r="G8" i="3"/>
  <c r="G10" i="3"/>
  <c r="G14" i="3"/>
  <c r="G16" i="3"/>
  <c r="G18" i="3"/>
  <c r="G24" i="3"/>
  <c r="G30" i="3"/>
  <c r="G36" i="3"/>
  <c r="G41" i="3"/>
  <c r="J41" i="3"/>
  <c r="I41" i="3"/>
  <c r="H41" i="3"/>
  <c r="J36" i="3"/>
  <c r="I36" i="3"/>
  <c r="H36" i="3"/>
  <c r="J30" i="3"/>
  <c r="I30" i="3"/>
  <c r="H30" i="3"/>
  <c r="J24" i="3"/>
  <c r="I24" i="3"/>
  <c r="H24" i="3"/>
  <c r="J18" i="3"/>
  <c r="I18" i="3"/>
  <c r="H18" i="3"/>
  <c r="J16" i="3"/>
  <c r="I16" i="3"/>
  <c r="H16" i="3"/>
  <c r="C27" i="8"/>
  <c r="J14" i="3"/>
  <c r="I14" i="3"/>
  <c r="H14" i="3"/>
  <c r="J10" i="3"/>
  <c r="I10" i="3"/>
  <c r="H10" i="3"/>
  <c r="J8" i="3"/>
  <c r="I8" i="3"/>
  <c r="H8" i="3"/>
  <c r="J6" i="3"/>
  <c r="I6" i="3"/>
  <c r="H6" i="3"/>
  <c r="J6" i="2"/>
  <c r="I6" i="2"/>
  <c r="H6" i="2"/>
  <c r="G6" i="2"/>
  <c r="J40" i="2"/>
  <c r="I40" i="2"/>
  <c r="H40" i="2"/>
  <c r="G40" i="2"/>
  <c r="J36" i="2"/>
  <c r="I36" i="2"/>
  <c r="H36" i="2"/>
  <c r="G36" i="2"/>
  <c r="J29" i="2"/>
  <c r="I29" i="2"/>
  <c r="H29" i="2"/>
  <c r="G29" i="2"/>
  <c r="J23" i="2"/>
  <c r="I23" i="2"/>
  <c r="H23" i="2"/>
  <c r="G23" i="2"/>
  <c r="P8" i="8"/>
  <c r="J18" i="2"/>
  <c r="I18" i="2"/>
  <c r="H18" i="2"/>
  <c r="G18" i="2"/>
  <c r="J16" i="2"/>
  <c r="I16" i="2"/>
  <c r="H16" i="2"/>
  <c r="G16" i="2"/>
  <c r="J11" i="2"/>
  <c r="I11" i="2"/>
  <c r="H11" i="2"/>
  <c r="G11" i="2"/>
  <c r="J8" i="2"/>
  <c r="I8" i="2"/>
  <c r="H8" i="2"/>
  <c r="G8" i="2"/>
  <c r="E8" i="8"/>
  <c r="D8" i="8"/>
  <c r="E12" i="8"/>
  <c r="J37" i="5"/>
  <c r="I37" i="5"/>
  <c r="H37" i="5"/>
  <c r="G37" i="5"/>
  <c r="J28" i="5"/>
  <c r="I28" i="5"/>
  <c r="H28" i="5"/>
  <c r="G28" i="5"/>
  <c r="E9" i="8"/>
  <c r="D9" i="8"/>
  <c r="C9" i="8"/>
  <c r="B9" i="8"/>
  <c r="C8" i="8"/>
  <c r="B8" i="8"/>
  <c r="J25" i="5"/>
  <c r="I25" i="5"/>
  <c r="H25" i="5"/>
  <c r="G25" i="5"/>
  <c r="J22" i="5"/>
  <c r="I22" i="5"/>
  <c r="H22" i="5"/>
  <c r="G22" i="5"/>
  <c r="J19" i="5"/>
  <c r="G19" i="5"/>
  <c r="H19" i="5"/>
  <c r="I19" i="5"/>
  <c r="J13" i="5"/>
  <c r="I13" i="5"/>
  <c r="H13" i="5"/>
  <c r="G13" i="5"/>
  <c r="J5" i="5"/>
  <c r="I5" i="5"/>
  <c r="H5" i="5"/>
  <c r="G5" i="5"/>
  <c r="J7" i="5"/>
  <c r="I7" i="5"/>
  <c r="H7" i="5"/>
  <c r="G7" i="5"/>
  <c r="F2" i="2"/>
  <c r="F2" i="3"/>
  <c r="B5" i="6" s="1"/>
  <c r="F2" i="4"/>
  <c r="F2" i="5"/>
  <c r="B3" i="6" s="1"/>
  <c r="O37" i="8" l="1"/>
  <c r="P36" i="8"/>
  <c r="O28" i="8"/>
  <c r="O30" i="8"/>
  <c r="O31" i="8"/>
  <c r="Q25" i="8"/>
  <c r="P26" i="8"/>
  <c r="P28" i="8"/>
  <c r="P30" i="8"/>
  <c r="P27" i="8"/>
  <c r="P31" i="8"/>
  <c r="P32" i="8"/>
  <c r="P33" i="8"/>
  <c r="Q34" i="8"/>
  <c r="Q35" i="8"/>
  <c r="Q37" i="8"/>
  <c r="Q36" i="8"/>
  <c r="O26" i="8"/>
  <c r="O27" i="8"/>
  <c r="O32" i="8"/>
  <c r="O33" i="8"/>
  <c r="N34" i="8"/>
  <c r="O25" i="8"/>
  <c r="Q26" i="8"/>
  <c r="Q28" i="8"/>
  <c r="Q30" i="8"/>
  <c r="Q27" i="8"/>
  <c r="Q31" i="8"/>
  <c r="Q32" i="8"/>
  <c r="Q33" i="8"/>
  <c r="N37" i="8"/>
  <c r="N35" i="8"/>
  <c r="B23" i="8"/>
  <c r="B34" i="8"/>
  <c r="E31" i="8"/>
  <c r="C33" i="8"/>
  <c r="B29" i="8"/>
  <c r="E23" i="8"/>
  <c r="C25" i="8"/>
  <c r="D25" i="8"/>
  <c r="P3" i="8"/>
  <c r="P5" i="8"/>
  <c r="P7" i="8"/>
  <c r="P9" i="8"/>
  <c r="P10" i="8"/>
  <c r="P12" i="8"/>
  <c r="P4" i="8"/>
  <c r="P6" i="8"/>
  <c r="P11" i="8"/>
  <c r="O4" i="8"/>
  <c r="O10" i="8"/>
  <c r="Q11" i="8"/>
  <c r="Q4" i="8"/>
  <c r="Q10" i="8"/>
  <c r="Q12" i="8"/>
  <c r="O8" i="8"/>
  <c r="R3" i="8"/>
  <c r="R4" i="8"/>
  <c r="R6" i="8"/>
  <c r="R8" i="8"/>
  <c r="R10" i="8"/>
  <c r="R12" i="8"/>
  <c r="R2" i="8"/>
  <c r="O6" i="8"/>
  <c r="O12" i="8"/>
  <c r="Q6" i="8"/>
  <c r="Q8" i="8"/>
  <c r="Q2" i="8"/>
  <c r="O3" i="8"/>
  <c r="O5" i="8"/>
  <c r="R7" i="8"/>
  <c r="O9" i="8"/>
  <c r="O11" i="8"/>
  <c r="E10" i="8"/>
  <c r="D3" i="8"/>
  <c r="D4" i="8"/>
  <c r="B5" i="8"/>
  <c r="D6" i="8"/>
  <c r="D7" i="8"/>
  <c r="B10" i="8"/>
  <c r="B11" i="8"/>
  <c r="B12" i="8"/>
  <c r="D2" i="8"/>
  <c r="E6" i="8"/>
  <c r="D10" i="8"/>
  <c r="D12" i="8"/>
  <c r="E3" i="8"/>
  <c r="E2" i="8"/>
  <c r="E4" i="8"/>
  <c r="E5" i="8"/>
  <c r="E7" i="8"/>
  <c r="C10" i="8"/>
  <c r="C11" i="8"/>
  <c r="C12" i="8"/>
  <c r="B3" i="8"/>
  <c r="B2" i="8"/>
  <c r="B4" i="8"/>
  <c r="D5" i="8"/>
  <c r="B6" i="8"/>
  <c r="B7" i="8"/>
  <c r="D11" i="8"/>
  <c r="C3" i="8"/>
  <c r="C2" i="8"/>
  <c r="C4" i="8"/>
  <c r="C5" i="8"/>
  <c r="C6" i="8"/>
  <c r="C7" i="8"/>
  <c r="E11" i="8"/>
  <c r="N26" i="8"/>
  <c r="N36" i="8"/>
  <c r="O36" i="8"/>
  <c r="P34" i="8"/>
  <c r="N25" i="8"/>
  <c r="O35" i="8"/>
  <c r="P37" i="8"/>
  <c r="C24" i="8"/>
  <c r="E26" i="8"/>
  <c r="D28" i="8"/>
  <c r="C32" i="8"/>
  <c r="E34" i="8"/>
  <c r="B30" i="8"/>
  <c r="B33" i="8"/>
  <c r="C29" i="8"/>
  <c r="D33" i="8"/>
  <c r="B26" i="8"/>
  <c r="C23" i="8"/>
  <c r="D29" i="8"/>
  <c r="C31" i="8"/>
  <c r="D31" i="8"/>
  <c r="B31" i="8"/>
  <c r="Q9" i="8"/>
  <c r="R9" i="8"/>
  <c r="P2" i="8"/>
  <c r="R11" i="8"/>
  <c r="Q3" i="8"/>
  <c r="Q5" i="8"/>
  <c r="R5" i="8"/>
  <c r="O7" i="8"/>
  <c r="Q7" i="8"/>
  <c r="B28" i="8"/>
  <c r="B32" i="8"/>
  <c r="E24" i="8"/>
  <c r="D27" i="8"/>
  <c r="C30" i="8"/>
  <c r="E32" i="8"/>
  <c r="D32" i="8"/>
  <c r="E27" i="8"/>
  <c r="D30" i="8"/>
  <c r="B24" i="8"/>
  <c r="E28" i="8"/>
  <c r="E30" i="8"/>
  <c r="B25" i="8"/>
  <c r="D24" i="8"/>
  <c r="E25" i="8"/>
  <c r="E33" i="8"/>
  <c r="D23" i="8"/>
  <c r="C26" i="8"/>
  <c r="E29" i="8"/>
  <c r="C34" i="8"/>
  <c r="D26" i="8"/>
  <c r="C28" i="8"/>
  <c r="D34" i="8"/>
  <c r="B27" i="8"/>
  <c r="O2" i="8"/>
  <c r="B6" i="6"/>
  <c r="B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 xml:space="preserve">Parcialmente - </t>
        </r>
        <r>
          <rPr>
            <sz val="9"/>
            <color indexed="81"/>
            <rFont val="Tahoma"/>
            <family val="2"/>
          </rPr>
          <t xml:space="preserve">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
</t>
        </r>
      </text>
    </comment>
    <comment ref="E4" authorId="0" shapeId="0" xr:uid="{00000000-0006-0000-01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1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3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3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<sst xmlns="http://schemas.openxmlformats.org/spreadsheetml/2006/main" count="405" uniqueCount="118">
  <si>
    <t>Ambiente</t>
  </si>
  <si>
    <t>documentos não padronizados (templates, guias, leis, etc.)</t>
  </si>
  <si>
    <t>visão</t>
  </si>
  <si>
    <t>modelo de caso de uso</t>
  </si>
  <si>
    <t>glossário</t>
  </si>
  <si>
    <t>modelo de arquitetura</t>
  </si>
  <si>
    <t xml:space="preserve">codigo fonte </t>
  </si>
  <si>
    <t>guia de implementação</t>
  </si>
  <si>
    <t>roteiro de testes</t>
  </si>
  <si>
    <t>guia de implantação</t>
  </si>
  <si>
    <t>manual do usuário (pode ser help on-line)</t>
  </si>
  <si>
    <t>Gerenciamento de Projetos</t>
  </si>
  <si>
    <t>termo de abertura do projeto</t>
  </si>
  <si>
    <t>planilha de planejamento e controle do projeto</t>
  </si>
  <si>
    <t>especificações de requisitos (casos de uso e/ou histórias do usuário)?</t>
  </si>
  <si>
    <t>requisição de mudanças</t>
  </si>
  <si>
    <t>CheckList de Verificação de Projeto</t>
  </si>
  <si>
    <t>Desenvolvimento - Requisitos</t>
  </si>
  <si>
    <t>Desenvolvimento - Análise e Design</t>
  </si>
  <si>
    <t>Desenvolvimento - Implementação</t>
  </si>
  <si>
    <t>Desenvolvimento - Testes</t>
  </si>
  <si>
    <t>Desenvolvimento - Implantação</t>
  </si>
  <si>
    <t>Disciplina</t>
  </si>
  <si>
    <t>Itens de verificação</t>
  </si>
  <si>
    <t>Qde.</t>
  </si>
  <si>
    <t>Data da Verificação:</t>
  </si>
  <si>
    <t>Nome do Verificador:</t>
  </si>
  <si>
    <t>Sugestão de melhoria</t>
  </si>
  <si>
    <t>Descrever o desvio</t>
  </si>
  <si>
    <t>Resultado</t>
  </si>
  <si>
    <t>Gerenciamento de Configuração e Mudanças</t>
  </si>
  <si>
    <t>O objetivo, os problemas  e as necessidades do cliente estão claras?</t>
  </si>
  <si>
    <t>Fornece uma visão geral do sistema de forma clara e objetiva?</t>
  </si>
  <si>
    <t>Existe template para documento não previsto no SpinOff?</t>
  </si>
  <si>
    <t>O modelo de casos de uso, escopo do sistema em termos de funcionalidades, e respectivas permissões de acesso estão claros?</t>
  </si>
  <si>
    <t>As descrições dos termos estão claras?</t>
  </si>
  <si>
    <t>atas de reuniões</t>
  </si>
  <si>
    <t>As atas das reuniões de levantamento de requisitos foram aprovadas?</t>
  </si>
  <si>
    <t>Os artefatos estão nos locais corretos conforme guia-mapeamento de processo x produto?</t>
  </si>
  <si>
    <t>Os artefatos estão nomeados conforme guia-políticas de GC?</t>
  </si>
  <si>
    <t>Foram identificadas restrições de prazo, custo, tecnológica, ou qualquer outra e registradas no Visão?</t>
  </si>
  <si>
    <t>A equipe foi definida com seus respectivos e-mails?</t>
  </si>
  <si>
    <t>Os históricos de atualizações dos artefatos, na ferramenta,  possuem descrição do que foi alterado?</t>
  </si>
  <si>
    <t>O ideal é que o índice de aderência ao processo tenha entre 70 e 100%</t>
  </si>
  <si>
    <t>IAP - Indicador de Aderência ao Processo:</t>
  </si>
  <si>
    <t>As novas especificações, modelos e protótipos foram aprovados pelo cliente?</t>
  </si>
  <si>
    <t>Foi atualizado?</t>
  </si>
  <si>
    <t>O caso de uso/história de usuário escolhido para definir e testar a arquitetura foi especificado?</t>
  </si>
  <si>
    <t>O caso de uso escolhido para definir e testar a arquitetura foi implementado e testado?</t>
  </si>
  <si>
    <t>Os testes unitários foram executados, todos passaram?</t>
  </si>
  <si>
    <t>O código respeita o modelo de arquitetura, inclusive nomeação de classes, atributos, relacionamentos e pacotes?</t>
  </si>
  <si>
    <t>Foram criados diagramas de classes, de arquitetura, de pacotes e de deployment?</t>
  </si>
  <si>
    <t>No Backlog do Produto foi incluído mais alguma atividade, estimado e priorizado?</t>
  </si>
  <si>
    <t>O plano de entregas foi atualizado? Corresponde ao número de sprints?</t>
  </si>
  <si>
    <t>O plano de gerenciamento de riscos foi atualizado?</t>
  </si>
  <si>
    <t>Foram feitas as reuniões de Revisão do Produto e Processo?</t>
  </si>
  <si>
    <t>repositório (itens de configuração)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</si>
  <si>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</si>
  <si>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</si>
  <si>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</si>
  <si>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 modelo de arquitetura foi atualizado?</t>
  </si>
  <si>
    <t>Os requisitos suplementares (não funcionais) foram especificados e utilizados na definição da arquitetura?</t>
  </si>
  <si>
    <t>O guia de implantação foi criado para implantar o produto (subproduto) com software, hardware, etc. necessários para a implantação em ambiente de produção?</t>
  </si>
  <si>
    <t>Foi realizado refinamentos no código para melhorar eficiência ou corrigir bugs?</t>
  </si>
  <si>
    <t>Os diagramas de classes foram atualizados?</t>
  </si>
  <si>
    <t>Iniciação</t>
  </si>
  <si>
    <t>Elaboração</t>
  </si>
  <si>
    <t>Construção</t>
  </si>
  <si>
    <t>Transição</t>
  </si>
  <si>
    <t>Fases e iterações (sprints)</t>
  </si>
  <si>
    <t>IAP - Indicador de Aderência ao Processo (70% a 100%)</t>
  </si>
  <si>
    <t>Aderência (%)</t>
  </si>
  <si>
    <t>O artefato foi criado com o template atual e armazenado na pasta correta da estrutura do projeto?</t>
  </si>
  <si>
    <t>A estrutura do projeto (repositório) foi criada com o template atual e está sicronizada com o servidor?</t>
  </si>
  <si>
    <t>Foi criado o Modelo de Negócio (diagrama de classes com todas as entidades identificadas) ou um DER (diagrama de entidade relacionamento)</t>
  </si>
  <si>
    <t>O escopo foi apresentado e aprovado pelo cliente ou representante?</t>
  </si>
  <si>
    <t>Caso tenha sido criado o protótipo, ele foi armazenado na pasta correta da estrutura do projeto?</t>
  </si>
  <si>
    <t>As necessidades foram descritas como histórias de usuário?</t>
  </si>
  <si>
    <t>Se criado, o artefato usou o template atual e foi armazenado na pasta correta da estrutura do projeto?</t>
  </si>
  <si>
    <t>Os casos de uso e atores possuem descrições claras e objetivas de forma a não necessitar que alguém explique-o verbalmente?</t>
  </si>
  <si>
    <t>Se criados, as especificações para os casos de uso/histórias de usuário são testáveis, ou seja, é possível identificar as entradas e verificar se as saída estão corretas?</t>
  </si>
  <si>
    <t>Foi criado/atualizado o modelo de negócio das entidades? (diagrama de classes)</t>
  </si>
  <si>
    <t>Foi feita a estimativa do Backlog do Produto?</t>
  </si>
  <si>
    <t>Foi feita a priorização do Backlog do Produto?</t>
  </si>
  <si>
    <t>O plano de gerenciamento de riscos foi elaborado e considerou as restrições registradas no Visão?</t>
  </si>
  <si>
    <t>O planejamento foi apresentado e aprovado pelo cliente ou representante?</t>
  </si>
  <si>
    <t>O backlog do produto foi criado com todos os Casos de Uso?</t>
  </si>
  <si>
    <t>O plano de entregas foi definido e documentado e corresponde ao número de sprints planejado?</t>
  </si>
  <si>
    <t>O plano de entregas foi atualizado?</t>
  </si>
  <si>
    <t>Foi refeita a estimativa e a priorização no Backlog do Sprint?</t>
  </si>
  <si>
    <t>Foi feito o planejamento do Sprint?</t>
  </si>
  <si>
    <t>caso de desenvolvimento</t>
  </si>
  <si>
    <t>DESCRIÇÃO</t>
  </si>
  <si>
    <t>SIM</t>
  </si>
  <si>
    <t>PARCIALMENTE</t>
  </si>
  <si>
    <t>NÃO</t>
  </si>
  <si>
    <t>N/A</t>
  </si>
  <si>
    <t>especificações de requisitos (histórias do usuário)?</t>
  </si>
  <si>
    <t>Os casos de uso e atores foram documentados (especificados) com descrição dos elementos UML.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</si>
  <si>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</si>
  <si>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</si>
  <si>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</si>
  <si>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Os diagramas de classe foram atualizados conforme a codificação realizada?</t>
  </si>
  <si>
    <t>Os testes realizados foram registrados no roteiro de testes?</t>
  </si>
  <si>
    <t>O Backlog do Produto foi alterado, caso tenham sido incluidas ou removidas tarefas?</t>
  </si>
  <si>
    <t>Existe histórico de alterações das configurações base?</t>
  </si>
  <si>
    <t>As mudanças de escopo foram registradas no Backlog do produto?</t>
  </si>
  <si>
    <t>Há rastreabilidade (histórico do que foi alterado) das mudanças?</t>
  </si>
  <si>
    <t>O visão foi atualizado devido a mudança de escopo?</t>
  </si>
  <si>
    <t>O modelo de casos de uso, escopo do sistema, foi atualizado conforme as mudanças?</t>
  </si>
  <si>
    <t>As especificações dos casos de uso/histórias de usuário foram atualizadas conforme a implementação?</t>
  </si>
  <si>
    <t>Os diagramas de de casos de uso e classes foram atualizados conforme a implementação? (diagrama de classes ou DER)</t>
  </si>
  <si>
    <t>Os roteiros de testes foram atualizados e executados?</t>
  </si>
  <si>
    <t>Foram realizados os testes de aceitação por parte do usuário final?</t>
  </si>
  <si>
    <t>Sim</t>
  </si>
  <si>
    <t>Parcialmente</t>
  </si>
  <si>
    <t>NA</t>
  </si>
  <si>
    <t>Ainda näo foi informado as restrições de prazo e 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</si>
</sst>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7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Calibri"/>
      <family val="2"/>
      <scheme val="minor"/>
    </font>
    <font>
      <b/>
      <sz val="14"/>
      <color theme="0"/>
      <name val="Arial1"/>
    </font>
    <font>
      <b/>
      <sz val="11"/>
      <color theme="0"/>
      <name val="Arial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/>
    <xf numFmtId="0" fontId="3" fillId="0" borderId="0" xfId="0" applyFont="1"/>
    <xf numFmtId="0" fontId="4" fillId="0" borderId="1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 indent="1"/>
    </xf>
    <xf numFmtId="0" fontId="4" fillId="3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left" wrapText="1" indent="1"/>
    </xf>
    <xf numFmtId="0" fontId="0" fillId="0" borderId="7" xfId="0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0" fillId="0" borderId="11" xfId="0" applyBorder="1"/>
    <xf numFmtId="0" fontId="0" fillId="0" borderId="0" xfId="0" applyAlignment="1">
      <alignment horizontal="center"/>
    </xf>
    <xf numFmtId="0" fontId="10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left" wrapText="1" indent="1"/>
    </xf>
    <xf numFmtId="9" fontId="0" fillId="0" borderId="0" xfId="1" applyFont="1"/>
    <xf numFmtId="9" fontId="14" fillId="0" borderId="0" xfId="1" applyFont="1"/>
    <xf numFmtId="9" fontId="15" fillId="0" borderId="0" xfId="1" applyFont="1" applyAlignment="1">
      <alignment vertical="center"/>
    </xf>
    <xf numFmtId="0" fontId="0" fillId="0" borderId="1" xfId="0" applyBorder="1" applyAlignment="1">
      <alignment wrapText="1"/>
    </xf>
    <xf numFmtId="0" fontId="11" fillId="4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 wrapText="1" shrinkToFit="1"/>
    </xf>
    <xf numFmtId="0" fontId="16" fillId="4" borderId="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 shrinkToFit="1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trendline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0.95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8-4FFB-BE48-B0B54A3C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76192"/>
        <c:axId val="188377728"/>
      </c:barChart>
      <c:catAx>
        <c:axId val="18837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377728"/>
        <c:crosses val="autoZero"/>
        <c:auto val="1"/>
        <c:lblAlgn val="ctr"/>
        <c:lblOffset val="100"/>
        <c:noMultiLvlLbl val="0"/>
      </c:catAx>
      <c:valAx>
        <c:axId val="18837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37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INICIAÇÃO</a:t>
            </a:r>
            <a:r>
              <a:rPr lang="pt-BR" baseline="0"/>
              <a:t> DETALHADA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0.6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4B78-84D0-7141F7DCC7FD}"/>
            </c:ext>
          </c:extLst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1-4B78-84D0-7141F7DCC7FD}"/>
            </c:ext>
          </c:extLst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1-4B78-84D0-7141F7DCC7FD}"/>
            </c:ext>
          </c:extLst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0.4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1-4B78-84D0-7141F7DCC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67647"/>
        <c:axId val="165674367"/>
      </c:barChart>
      <c:catAx>
        <c:axId val="165667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74367"/>
        <c:crosses val="autoZero"/>
        <c:auto val="1"/>
        <c:lblAlgn val="ctr"/>
        <c:lblOffset val="100"/>
        <c:noMultiLvlLbl val="0"/>
      </c:catAx>
      <c:valAx>
        <c:axId val="16567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6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ELABORAÇÃO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3-4543-A29A-5867739A7D75}"/>
            </c:ext>
          </c:extLst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3-4543-A29A-5867739A7D75}"/>
            </c:ext>
          </c:extLst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3-4543-A29A-5867739A7D75}"/>
            </c:ext>
          </c:extLst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3-4543-A29A-5867739A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041264"/>
        <c:axId val="1202945552"/>
      </c:barChart>
      <c:catAx>
        <c:axId val="14010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945552"/>
        <c:crosses val="autoZero"/>
        <c:auto val="1"/>
        <c:lblAlgn val="ctr"/>
        <c:lblOffset val="100"/>
        <c:noMultiLvlLbl val="0"/>
      </c:catAx>
      <c:valAx>
        <c:axId val="12029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10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CONSTRUÇÃO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E-4531-83A4-D25BD931F0A6}"/>
            </c:ext>
          </c:extLst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E-4531-83A4-D25BD931F0A6}"/>
            </c:ext>
          </c:extLst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E-4531-83A4-D25BD931F0A6}"/>
            </c:ext>
          </c:extLst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2E-4531-83A4-D25BD931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193408"/>
        <c:axId val="1261194848"/>
      </c:barChart>
      <c:catAx>
        <c:axId val="12611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4848"/>
        <c:crosses val="autoZero"/>
        <c:auto val="1"/>
        <c:lblAlgn val="ctr"/>
        <c:lblOffset val="100"/>
        <c:noMultiLvlLbl val="0"/>
      </c:catAx>
      <c:valAx>
        <c:axId val="12611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TRANSIÇÃO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9-4339-B007-9953BBC1F46F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9-4339-B007-9953BBC1F46F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9-4339-B007-9953BBC1F46F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9-4339-B007-9953BBC1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985952"/>
        <c:axId val="1193986912"/>
      </c:barChart>
      <c:catAx>
        <c:axId val="119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6912"/>
        <c:crosses val="autoZero"/>
        <c:auto val="1"/>
        <c:lblAlgn val="ctr"/>
        <c:lblOffset val="100"/>
        <c:noMultiLvlLbl val="0"/>
      </c:catAx>
      <c:valAx>
        <c:axId val="11939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142874</xdr:rowOff>
    </xdr:from>
    <xdr:to>
      <xdr:col>2</xdr:col>
      <xdr:colOff>0</xdr:colOff>
      <xdr:row>18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213360</xdr:colOff>
      <xdr:row>19</xdr:row>
      <xdr:rowOff>176892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C5FCC4-7374-FADF-5F98-03E26B027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231321</xdr:colOff>
      <xdr:row>0</xdr:row>
      <xdr:rowOff>0</xdr:rowOff>
    </xdr:from>
    <xdr:to>
      <xdr:col>21</xdr:col>
      <xdr:colOff>27215</xdr:colOff>
      <xdr:row>19</xdr:row>
      <xdr:rowOff>174172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5DBEB8-5D3A-A681-9DD5-6436B5C04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2721</xdr:rowOff>
    </xdr:from>
    <xdr:to>
      <xdr:col>10</xdr:col>
      <xdr:colOff>231321</xdr:colOff>
      <xdr:row>39</xdr:row>
      <xdr:rowOff>136071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05EB487-FCF1-3831-9DBF-DA3FBB328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244927</xdr:colOff>
      <xdr:row>20</xdr:row>
      <xdr:rowOff>13607</xdr:rowOff>
    </xdr:from>
    <xdr:to>
      <xdr:col>21</xdr:col>
      <xdr:colOff>27215</xdr:colOff>
      <xdr:row>39</xdr:row>
      <xdr:rowOff>137948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DEEA43-4087-699C-0475-76399C6D7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zoomScale="160" zoomScaleNormal="160" workbookViewId="0">
      <selection activeCell="B5" sqref="B5"/>
    </sheetView>
  </sheetViews>
  <sheetFormatPr defaultRowHeight="15"/>
  <cols>
    <col min="1" max="1" width="24.28515625" bestFit="1" customWidth="1"/>
    <col min="2" max="2" width="39" style="17" customWidth="1"/>
  </cols>
  <sheetData>
    <row r="1" spans="1:2" ht="18.75">
      <c r="A1" s="29" t="s">
        <v>70</v>
      </c>
      <c r="B1" s="29"/>
    </row>
    <row r="2" spans="1:2">
      <c r="A2" s="18" t="s">
        <v>69</v>
      </c>
      <c r="B2" s="19" t="s">
        <v>71</v>
      </c>
    </row>
    <row r="3" spans="1:2">
      <c r="A3" s="18" t="s">
        <v>65</v>
      </c>
      <c r="B3" s="20">
        <f>'Ver-Iniciação1'!$F$2</f>
        <v>0.95</v>
      </c>
    </row>
    <row r="4" spans="1:2">
      <c r="A4" s="18" t="s">
        <v>66</v>
      </c>
      <c r="B4" s="20" t="e">
        <f>'Ver-Elaboração1'!$F$2</f>
        <v>#DIV/0!</v>
      </c>
    </row>
    <row r="5" spans="1:2">
      <c r="A5" s="18" t="s">
        <v>67</v>
      </c>
      <c r="B5" s="20" t="e">
        <f>'Ver-Construção1'!$F$2</f>
        <v>#DIV/0!</v>
      </c>
    </row>
    <row r="6" spans="1:2">
      <c r="A6" s="18" t="s">
        <v>68</v>
      </c>
      <c r="B6" s="20" t="e">
        <f>'Ver-Transição1'!$F$2</f>
        <v>#DIV/0!</v>
      </c>
    </row>
    <row r="7" spans="1:2">
      <c r="B7"/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B2C1B-A599-4159-99C1-DE703E343043}">
  <dimension ref="A1:R37"/>
  <sheetViews>
    <sheetView zoomScale="55" zoomScaleNormal="55" workbookViewId="0">
      <selection activeCell="AA36" sqref="AA36"/>
    </sheetView>
  </sheetViews>
  <sheetFormatPr defaultRowHeight="15"/>
  <cols>
    <col min="1" max="1" width="18.28515625" customWidth="1"/>
    <col min="2" max="2" width="8.140625" customWidth="1"/>
    <col min="3" max="3" width="17.140625" bestFit="1" customWidth="1"/>
    <col min="4" max="4" width="6.85546875" customWidth="1"/>
    <col min="5" max="5" width="6.42578125" customWidth="1"/>
    <col min="6" max="6" width="6.85546875" customWidth="1"/>
    <col min="14" max="14" width="13.140625" customWidth="1"/>
    <col min="16" max="16" width="11.28515625" customWidth="1"/>
  </cols>
  <sheetData>
    <row r="1" spans="1:18">
      <c r="A1" t="s">
        <v>92</v>
      </c>
      <c r="B1" t="s">
        <v>93</v>
      </c>
      <c r="C1" t="s">
        <v>94</v>
      </c>
      <c r="D1" t="s">
        <v>95</v>
      </c>
      <c r="E1" t="s">
        <v>96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</row>
    <row r="2" spans="1:18">
      <c r="A2" t="s">
        <v>1</v>
      </c>
      <c r="B2" s="25">
        <f>('Ver-Iniciação1'!$G$5/SUM('Ver-Iniciação1'!$G$5:'Ver-Iniciação1'!$J$5))</f>
        <v>0</v>
      </c>
      <c r="C2" s="25">
        <f>('Ver-Iniciação1'!$H$5/SUM('Ver-Iniciação1'!$G$5:'Ver-Iniciação1'!$J$5))</f>
        <v>0</v>
      </c>
      <c r="D2" s="25">
        <f>('Ver-Iniciação1'!$I$5/SUM('Ver-Iniciação1'!$G$5:'Ver-Iniciação1'!$J$5))</f>
        <v>0</v>
      </c>
      <c r="E2" s="25">
        <f>('Ver-Iniciação1'!$J$5/SUM('Ver-Iniciação1'!$G$5:'Ver-Iniciação1'!$J$5))</f>
        <v>1</v>
      </c>
      <c r="N2" t="s">
        <v>2</v>
      </c>
      <c r="O2" s="25">
        <f>('Ver-Elaboração1'!$G$6/SUM('Ver-Elaboração1'!$G$6:'Ver-Elaboração1'!$J$6))</f>
        <v>0</v>
      </c>
      <c r="P2" s="25">
        <f>('Ver-Elaboração1'!$H$6/SUM('Ver-Elaboração1'!$G$6:'Ver-Elaboração1'!$J$6))</f>
        <v>0</v>
      </c>
      <c r="Q2" s="25">
        <f>('Ver-Elaboração1'!$I$6/SUM('Ver-Elaboração1'!$G$6:'Ver-Elaboração1'!$J$6))</f>
        <v>0</v>
      </c>
      <c r="R2" s="25">
        <f>('Ver-Elaboração1'!$J$6/SUM('Ver-Elaboração1'!$G$6:'Ver-Elaboração1'!$J$6))</f>
        <v>1</v>
      </c>
    </row>
    <row r="3" spans="1:18">
      <c r="A3" t="s">
        <v>2</v>
      </c>
      <c r="B3" s="25">
        <f>('Ver-Iniciação1'!$G$7/SUM('Ver-Iniciação1'!$G$7:'Ver-Iniciação1'!$J$7))</f>
        <v>0.8</v>
      </c>
      <c r="C3" s="25">
        <f>('Ver-Iniciação1'!$H$7/SUM('Ver-Iniciação1'!$G$7:'Ver-Iniciação1'!$J$7))</f>
        <v>0.2</v>
      </c>
      <c r="D3" s="25">
        <f>('Ver-Iniciação1'!$I$7/SUM('Ver-Iniciação1'!$G$7:'Ver-Iniciação1'!$J$7))</f>
        <v>0</v>
      </c>
      <c r="E3" s="25">
        <f>('Ver-Iniciação1'!$J$7/SUM('Ver-Iniciação1'!$G$7:'Ver-Iniciação1'!$J$7))</f>
        <v>0</v>
      </c>
      <c r="N3" t="s">
        <v>3</v>
      </c>
      <c r="O3" s="25">
        <f>('Ver-Elaboração1'!$G$8/SUM('Ver-Elaboração1'!$G$8:'Ver-Elaboração1'!$J$8))</f>
        <v>0</v>
      </c>
      <c r="P3" s="25">
        <f>('Ver-Elaboração1'!$H$8/SUM('Ver-Elaboração1'!$G$8:'Ver-Elaboração1'!$J$8))</f>
        <v>0</v>
      </c>
      <c r="Q3" s="25">
        <f>('Ver-Elaboração1'!$I$8/SUM('Ver-Elaboração1'!$G$8:'Ver-Elaboração1'!$J$8))</f>
        <v>0</v>
      </c>
      <c r="R3" s="25">
        <f>('Ver-Elaboração1'!$J$8/SUM('Ver-Elaboração1'!$G$8:'Ver-Elaboração1'!$J$8))</f>
        <v>1</v>
      </c>
    </row>
    <row r="4" spans="1:18">
      <c r="A4" t="s">
        <v>3</v>
      </c>
      <c r="B4" s="25">
        <f>('Ver-Iniciação1'!$G$13/SUM('Ver-Iniciação1'!$G$13:'Ver-Iniciação1'!$J$13))</f>
        <v>0.6</v>
      </c>
      <c r="C4" s="25">
        <f>('Ver-Iniciação1'!$H$13/SUM('Ver-Iniciação1'!$G$13:'Ver-Iniciação1'!$J$13))</f>
        <v>0</v>
      </c>
      <c r="D4" s="25">
        <f>('Ver-Iniciação1'!$I$13/SUM('Ver-Iniciação1'!$G$13:'Ver-Iniciação1'!$J$13))</f>
        <v>0</v>
      </c>
      <c r="E4" s="25">
        <f>('Ver-Iniciação1'!$J$13/SUM('Ver-Iniciação1'!$G$13:'Ver-Iniciação1'!$J$13))</f>
        <v>0.4</v>
      </c>
      <c r="N4" t="s">
        <v>14</v>
      </c>
      <c r="O4" s="25">
        <f>('Ver-Elaboração1'!$G$11/SUM('Ver-Elaboração1'!$G$11:'Ver-Elaboração1'!$J$11))</f>
        <v>0</v>
      </c>
      <c r="P4" s="25">
        <f>('Ver-Elaboração1'!$H$11/SUM('Ver-Elaboração1'!$G$11:'Ver-Elaboração1'!$J$11))</f>
        <v>0</v>
      </c>
      <c r="Q4" s="25">
        <f>('Ver-Elaboração1'!$I$11/SUM('Ver-Elaboração1'!$G$11:'Ver-Elaboração1'!$J$11))</f>
        <v>0</v>
      </c>
      <c r="R4" s="25">
        <f>('Ver-Elaboração1'!$J$11/SUM('Ver-Elaboração1'!$G$11:'Ver-Elaboração1'!$J$11))</f>
        <v>1</v>
      </c>
    </row>
    <row r="5" spans="1:18">
      <c r="A5" t="s">
        <v>14</v>
      </c>
      <c r="B5" s="25">
        <f>('Ver-Iniciação1'!$G$19/SUM('Ver-Iniciação1'!$G$19:'Ver-Iniciação1'!$J$19))</f>
        <v>0</v>
      </c>
      <c r="C5" s="25">
        <f>('Ver-Iniciação1'!$H$19/SUM('Ver-Iniciação1'!$G$19:'Ver-Iniciação1'!$J$19))</f>
        <v>0</v>
      </c>
      <c r="D5" s="25">
        <f>('Ver-Iniciação1'!$I$19/SUM('Ver-Iniciação1'!$G$19:'Ver-Iniciação1'!$J$19))</f>
        <v>0</v>
      </c>
      <c r="E5" s="25">
        <f>('Ver-Iniciação1'!$J$19/SUM('Ver-Iniciação1'!$G$19:'Ver-Iniciação1'!$J$19))</f>
        <v>1</v>
      </c>
      <c r="N5" t="s">
        <v>4</v>
      </c>
      <c r="O5" s="25">
        <f>('Ver-Elaboração1'!$G$16/SUM('Ver-Elaboração1'!$G$16:'Ver-Elaboração1'!$J$16))</f>
        <v>0</v>
      </c>
      <c r="P5" s="25">
        <f>('Ver-Elaboração1'!$H$16/SUM('Ver-Elaboração1'!$G$16:'Ver-Elaboração1'!$J$16))</f>
        <v>0</v>
      </c>
      <c r="Q5" s="25">
        <f>('Ver-Elaboração1'!$I$16/SUM('Ver-Elaboração1'!$G$16:'Ver-Elaboração1'!$J$16))</f>
        <v>0</v>
      </c>
      <c r="R5" s="25">
        <f>('Ver-Elaboração1'!$J$16/SUM('Ver-Elaboração1'!$G$16:'Ver-Elaboração1'!$J$16))</f>
        <v>1</v>
      </c>
    </row>
    <row r="6" spans="1:18">
      <c r="A6" t="s">
        <v>4</v>
      </c>
      <c r="B6" s="25">
        <f>('Ver-Iniciação1'!$G$22/SUM('Ver-Iniciação1'!$G$22:'Ver-Iniciação1'!$J$22))</f>
        <v>0</v>
      </c>
      <c r="C6" s="25">
        <f>('Ver-Iniciação1'!$H$22/SUM('Ver-Iniciação1'!$G$22:'Ver-Iniciação1'!$J$22))</f>
        <v>0</v>
      </c>
      <c r="D6" s="25">
        <f>('Ver-Iniciação1'!$I$22/SUM('Ver-Iniciação1'!$G$22:'Ver-Iniciação1'!$J$22))</f>
        <v>0</v>
      </c>
      <c r="E6" s="25">
        <f>('Ver-Iniciação1'!$J$22/SUM('Ver-Iniciação1'!$G$22:'Ver-Iniciação1'!$J$22))</f>
        <v>1</v>
      </c>
      <c r="N6" t="s">
        <v>36</v>
      </c>
      <c r="O6" s="25" t="e">
        <f>('Ver-Elaboração1'!#REF!/SUM('Ver-Elaboração1'!#REF!:'Ver-Elaboração1'!#REF!))</f>
        <v>#REF!</v>
      </c>
      <c r="P6" s="25" t="e">
        <f>('Ver-Elaboração1'!#REF!/SUM('Ver-Elaboração1'!#REF!:'Ver-Elaboração1'!#REF!))</f>
        <v>#REF!</v>
      </c>
      <c r="Q6" s="25" t="e">
        <f>('Ver-Elaboração1'!#REF!/SUM('Ver-Elaboração1'!#REF!:'Ver-Elaboração1'!#REF!))</f>
        <v>#REF!</v>
      </c>
      <c r="R6" s="25" t="e">
        <f>('Ver-Elaboração1'!#REF!/SUM('Ver-Elaboração1'!#REF!:'Ver-Elaboração1'!#REF!))</f>
        <v>#REF!</v>
      </c>
    </row>
    <row r="7" spans="1:18">
      <c r="A7" t="s">
        <v>36</v>
      </c>
      <c r="B7" s="25">
        <f>('Ver-Iniciação1'!$G$25/SUM('Ver-Iniciação1'!$G$25:'Ver-Iniciação1'!$J$25))</f>
        <v>0</v>
      </c>
      <c r="C7" s="25">
        <f>('Ver-Iniciação1'!$H$25/SUM('Ver-Iniciação1'!$G$25:'Ver-Iniciação1'!$J$25))</f>
        <v>0</v>
      </c>
      <c r="D7" s="25">
        <f>('Ver-Iniciação1'!$I$25/SUM('Ver-Iniciação1'!$G$25:'Ver-Iniciação1'!$J$25))</f>
        <v>0</v>
      </c>
      <c r="E7" s="25">
        <f>('Ver-Iniciação1'!$J$25/SUM('Ver-Iniciação1'!$G$25:'Ver-Iniciação1'!$J$25))</f>
        <v>1</v>
      </c>
      <c r="N7" t="s">
        <v>5</v>
      </c>
      <c r="O7" s="25">
        <f>('Ver-Elaboração1'!$G$18/SUM('Ver-Elaboração1'!$G$18:'Ver-Elaboração1'!$J$18))</f>
        <v>0</v>
      </c>
      <c r="P7" s="25">
        <f>('Ver-Elaboração1'!$H$18/SUM('Ver-Elaboração1'!$G$18:'Ver-Elaboração1'!$J$18))</f>
        <v>0</v>
      </c>
      <c r="Q7" s="25">
        <f>('Ver-Elaboração1'!$I$18/SUM('Ver-Elaboração1'!$G$18:'Ver-Elaboração1'!$J$18))</f>
        <v>0</v>
      </c>
      <c r="R7" s="25">
        <f>('Ver-Elaboração1'!$J$18/SUM('Ver-Elaboração1'!$G$18:'Ver-Elaboração1'!$J$18))</f>
        <v>1</v>
      </c>
    </row>
    <row r="8" spans="1:18">
      <c r="A8" t="s">
        <v>12</v>
      </c>
      <c r="B8" s="25" t="e">
        <f>('Ver-Iniciação1'!#REF!/SUM('Ver-Iniciação1'!#REF!:'Ver-Iniciação1'!#REF!))</f>
        <v>#REF!</v>
      </c>
      <c r="C8" s="25" t="e">
        <f>('Ver-Iniciação1'!#REF!/SUM('Ver-Iniciação1'!#REF!:'Ver-Iniciação1'!#REF!))</f>
        <v>#REF!</v>
      </c>
      <c r="D8" s="25" t="e">
        <f>('Ver-Iniciação1'!#REF!/SUM('Ver-Iniciação1'!#REF!:'Ver-Iniciação1'!#REF!))</f>
        <v>#REF!</v>
      </c>
      <c r="E8" s="25" t="e">
        <f>('Ver-Iniciação1'!#REF!/SUM('Ver-Iniciação1'!#REF!:'Ver-Iniciação1'!#REF!))</f>
        <v>#REF!</v>
      </c>
      <c r="N8" t="s">
        <v>7</v>
      </c>
      <c r="O8" s="25" t="e">
        <f>('Ver-Elaboração1'!#REF!/SUM('Ver-Elaboração1'!#REF!:'Ver-Elaboração1'!#REF!))</f>
        <v>#REF!</v>
      </c>
      <c r="P8" s="25" t="e">
        <f>('Ver-Elaboração1'!#REF!/SUM('Ver-Elaboração1'!#REF!:'Ver-Elaboração1'!#REF!))</f>
        <v>#REF!</v>
      </c>
      <c r="Q8" s="25" t="e">
        <f>('Ver-Elaboração1'!#REF!/SUM('Ver-Elaboração1'!#REF!:'Ver-Elaboração1'!#REF!))</f>
        <v>#REF!</v>
      </c>
      <c r="R8" s="25" t="e">
        <f>('Ver-Elaboração1'!#REF!/SUM('Ver-Elaboração1'!#REF!:'Ver-Elaboração1'!#REF!))</f>
        <v>#REF!</v>
      </c>
    </row>
    <row r="9" spans="1:18">
      <c r="A9" t="s">
        <v>91</v>
      </c>
      <c r="B9" s="25" t="e">
        <f>('Ver-Iniciação1'!#REF!/SUM('Ver-Iniciação1'!#REF!:'Ver-Iniciação1'!#REF!))</f>
        <v>#REF!</v>
      </c>
      <c r="C9" s="25" t="e">
        <f>('Ver-Iniciação1'!#REF!/SUM('Ver-Iniciação1'!#REF!:'Ver-Iniciação1'!#REF!))</f>
        <v>#REF!</v>
      </c>
      <c r="D9" s="25" t="e">
        <f>('Ver-Iniciação1'!#REF!/SUM('Ver-Iniciação1'!#REF!:'Ver-Iniciação1'!#REF!))</f>
        <v>#REF!</v>
      </c>
      <c r="E9" s="25" t="e">
        <f>('Ver-Iniciação1'!#REF!/SUM('Ver-Iniciação1'!#REF!:'Ver-Iniciação1'!#REF!))</f>
        <v>#REF!</v>
      </c>
      <c r="N9" t="s">
        <v>6</v>
      </c>
      <c r="O9" s="25">
        <f>('Ver-Elaboração1'!$G$23/SUM('Ver-Elaboração1'!$G$23:'Ver-Elaboração1'!$J$23))</f>
        <v>0</v>
      </c>
      <c r="P9" s="25">
        <f>('Ver-Elaboração1'!$H$23/SUM('Ver-Elaboração1'!$G$23:'Ver-Elaboração1'!$J$23))</f>
        <v>0</v>
      </c>
      <c r="Q9" s="25">
        <f>('Ver-Elaboração1'!$I$23/SUM('Ver-Elaboração1'!$G$23:'Ver-Elaboração1'!$J$23))</f>
        <v>0</v>
      </c>
      <c r="R9" s="25">
        <f>('Ver-Elaboração1'!$J$23/SUM('Ver-Elaboração1'!$G$23:'Ver-Elaboração1'!$J$23))</f>
        <v>1</v>
      </c>
    </row>
    <row r="10" spans="1:18">
      <c r="A10" t="s">
        <v>13</v>
      </c>
      <c r="B10" s="25">
        <f>('Ver-Iniciação1'!$G$28/SUM('Ver-Iniciação1'!$G$28:'Ver-Iniciação1'!$J$28))</f>
        <v>1</v>
      </c>
      <c r="C10" s="25">
        <f>('Ver-Iniciação1'!$H$28/SUM('Ver-Iniciação1'!$G$28:'Ver-Iniciação1'!$J$28))</f>
        <v>0</v>
      </c>
      <c r="D10" s="25">
        <f>('Ver-Iniciação1'!$I$28/SUM('Ver-Iniciação1'!$G$28:'Ver-Iniciação1'!$J$28))</f>
        <v>0</v>
      </c>
      <c r="E10" s="25">
        <f>('Ver-Iniciação1'!$J$28/SUM('Ver-Iniciação1'!$G$28:'Ver-Iniciação1'!$J$28))</f>
        <v>0</v>
      </c>
      <c r="N10" t="s">
        <v>13</v>
      </c>
      <c r="O10" s="25">
        <f>('Ver-Elaboração1'!$G$29/SUM('Ver-Elaboração1'!$G$29:'Ver-Elaboração1'!$J$29))</f>
        <v>0</v>
      </c>
      <c r="P10" s="25">
        <f>('Ver-Elaboração1'!$H$29/SUM('Ver-Elaboração1'!$G$29:'Ver-Elaboração1'!$J$29))</f>
        <v>0</v>
      </c>
      <c r="Q10" s="25">
        <f>('Ver-Elaboração1'!$I$29/SUM('Ver-Elaboração1'!$G$29:'Ver-Elaboração1'!$J$29))</f>
        <v>0</v>
      </c>
      <c r="R10" s="25">
        <f>('Ver-Elaboração1'!$J$29/SUM('Ver-Elaboração1'!$G$29:'Ver-Elaboração1'!$J$29))</f>
        <v>1</v>
      </c>
    </row>
    <row r="11" spans="1:18">
      <c r="A11" t="s">
        <v>56</v>
      </c>
      <c r="B11" s="25">
        <f>('Ver-Iniciação1'!$G$37/SUM('Ver-Iniciação1'!$G$37:'Ver-Iniciação1'!$J$37))</f>
        <v>1</v>
      </c>
      <c r="C11" s="25">
        <f>('Ver-Iniciação1'!$H$37/SUM('Ver-Iniciação1'!$G$37:'Ver-Iniciação1'!$J$37))</f>
        <v>0</v>
      </c>
      <c r="D11" s="25">
        <f>('Ver-Iniciação1'!$I$37/SUM('Ver-Iniciação1'!$G$37:'Ver-Iniciação1'!$J$37))</f>
        <v>0</v>
      </c>
      <c r="E11" s="25">
        <f>('Ver-Iniciação1'!$J$37/SUM('Ver-Iniciação1'!$G$37:'Ver-Iniciação1'!$J$37))</f>
        <v>0</v>
      </c>
      <c r="N11" t="s">
        <v>56</v>
      </c>
      <c r="O11" s="25">
        <f>('Ver-Elaboração1'!$G$36/SUM('Ver-Elaboração1'!$G$36:'Ver-Elaboração1'!$J$36))</f>
        <v>0</v>
      </c>
      <c r="P11" s="25">
        <f>('Ver-Elaboração1'!$H$36/SUM('Ver-Elaboração1'!$G$36:'Ver-Elaboração1'!$J$36))</f>
        <v>0</v>
      </c>
      <c r="Q11" s="25">
        <f>('Ver-Elaboração1'!$I$36/SUM('Ver-Elaboração1'!$G$36:'Ver-Elaboração1'!$J$36))</f>
        <v>0</v>
      </c>
      <c r="R11" s="25">
        <f>('Ver-Elaboração1'!$J$36/SUM('Ver-Elaboração1'!$G$36:'Ver-Elaboração1'!$J$36))</f>
        <v>1</v>
      </c>
    </row>
    <row r="12" spans="1:18">
      <c r="A12" t="s">
        <v>15</v>
      </c>
      <c r="B12" s="25" t="e">
        <f>('Ver-Iniciação1'!#REF!/SUM('Ver-Iniciação1'!#REF!:'Ver-Iniciação1'!#REF!))</f>
        <v>#REF!</v>
      </c>
      <c r="C12" s="25" t="e">
        <f>('Ver-Iniciação1'!#REF!/SUM('Ver-Iniciação1'!#REF!:'Ver-Iniciação1'!#REF!))</f>
        <v>#REF!</v>
      </c>
      <c r="D12" s="25" t="e">
        <f>('Ver-Iniciação1'!#REF!/SUM('Ver-Iniciação1'!#REF!:'Ver-Iniciação1'!#REF!))</f>
        <v>#REF!</v>
      </c>
      <c r="E12" s="25" t="e">
        <f>('Ver-Iniciação1'!#REF!/SUM('Ver-Iniciação1'!#REF!:'Ver-Iniciação1'!#REF!))</f>
        <v>#REF!</v>
      </c>
      <c r="N12" t="s">
        <v>15</v>
      </c>
      <c r="O12" s="25">
        <f>('Ver-Elaboração1'!$G$40/SUM('Ver-Elaboração1'!$G$40:'Ver-Elaboração1'!$J$40))</f>
        <v>0</v>
      </c>
      <c r="P12" s="25">
        <f>('Ver-Elaboração1'!$H$40/SUM('Ver-Elaboração1'!$G$40:'Ver-Elaboração1'!$J$40))</f>
        <v>0</v>
      </c>
      <c r="Q12" s="25">
        <f>('Ver-Elaboração1'!$I$40/SUM('Ver-Elaboração1'!$G$40:'Ver-Elaboração1'!$J$40))</f>
        <v>0</v>
      </c>
      <c r="R12" s="25">
        <f>('Ver-Elaboração1'!$J$40/SUM('Ver-Elaboração1'!$G$40:'Ver-Elaboração1'!$J$40))</f>
        <v>1</v>
      </c>
    </row>
    <row r="22" spans="1:17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17">
      <c r="A23" t="s">
        <v>2</v>
      </c>
      <c r="B23" s="26">
        <f>('Ver-Construção1'!$G$6/SUM('Ver-Construção1'!$G$6:'Ver-Construção1'!$J$6))</f>
        <v>0</v>
      </c>
      <c r="C23" s="27">
        <f>('Ver-Construção1'!$H$6/SUM('Ver-Construção1'!$G$6:'Ver-Construção1'!$J$6))</f>
        <v>0</v>
      </c>
      <c r="D23" s="27">
        <f>('Ver-Construção1'!$I$6/SUM('Ver-Construção1'!$G$6:'Ver-Construção1'!$J$6))</f>
        <v>0</v>
      </c>
      <c r="E23" s="27">
        <f>('Ver-Construção1'!$J$6/SUM('Ver-Construção1'!$G$6:'Ver-Construção1'!$J$6))</f>
        <v>1</v>
      </c>
    </row>
    <row r="24" spans="1:17">
      <c r="A24" t="s">
        <v>3</v>
      </c>
      <c r="B24" s="26">
        <f>('Ver-Construção1'!$G$8/SUM('Ver-Construção1'!$G$8:'Ver-Construção1'!$J$8))</f>
        <v>0</v>
      </c>
      <c r="C24" s="27">
        <f>('Ver-Construção1'!$H$8/SUM('Ver-Construção1'!$G$8:'Ver-Construção1'!$J$8))</f>
        <v>0</v>
      </c>
      <c r="D24" s="27">
        <f>('Ver-Construção1'!$I$8/SUM('Ver-Construção1'!$G$8:'Ver-Construção1'!$J$8))</f>
        <v>0</v>
      </c>
      <c r="E24" s="27">
        <f>('Ver-Construção1'!$J$8/SUM('Ver-Construção1'!$G$8:'Ver-Construção1'!$J$8))</f>
        <v>1</v>
      </c>
      <c r="M24" t="s">
        <v>92</v>
      </c>
      <c r="N24" t="s">
        <v>93</v>
      </c>
      <c r="O24" t="s">
        <v>94</v>
      </c>
      <c r="P24" t="s">
        <v>95</v>
      </c>
      <c r="Q24" t="s">
        <v>96</v>
      </c>
    </row>
    <row r="25" spans="1:17">
      <c r="A25" t="s">
        <v>14</v>
      </c>
      <c r="B25" s="26">
        <f>('Ver-Construção1'!$G$10/SUM('Ver-Construção1'!$G$10:'Ver-Construção1'!$J$10))</f>
        <v>0</v>
      </c>
      <c r="C25" s="27">
        <f>('Ver-Construção1'!$G$10/SUM('Ver-Construção1'!$G$10:'Ver-Construção1'!$J$10))</f>
        <v>0</v>
      </c>
      <c r="D25" s="27">
        <f>('Ver-Construção1'!$I$10/SUM('Ver-Construção1'!$G$10:'Ver-Construção1'!$J$10))</f>
        <v>0</v>
      </c>
      <c r="E25" s="27">
        <f>('Ver-Construção1'!$J$10/SUM('Ver-Construção1'!$G$10:'Ver-Construção1'!$J$10))</f>
        <v>1</v>
      </c>
      <c r="M25" t="s">
        <v>2</v>
      </c>
      <c r="N25" s="27">
        <f>('Ver-Transição1'!$G$6/SUM('Ver-Transição1'!$G$6:'Ver-Transição1'!$J$6))</f>
        <v>0</v>
      </c>
      <c r="O25" s="27">
        <f>('Ver-Transição1'!$H$6/SUM('Ver-Transição1'!$G$6:'Ver-Transição1'!$J$6))</f>
        <v>0</v>
      </c>
      <c r="P25" s="27">
        <f>('Ver-Transição1'!$I$6/SUM('Ver-Transição1'!$G$6:'Ver-Transição1'!$J$6))</f>
        <v>0</v>
      </c>
      <c r="Q25" s="27">
        <f>('Ver-Transição1'!$J$6/SUM('Ver-Transição1'!$G$6:'Ver-Transição1'!$J$6))</f>
        <v>1</v>
      </c>
    </row>
    <row r="26" spans="1:17">
      <c r="A26" t="s">
        <v>4</v>
      </c>
      <c r="B26" s="27">
        <f>('Ver-Construção1'!$G$14/SUM('Ver-Construção1'!$G$14:'Ver-Construção1'!$J$14))</f>
        <v>0</v>
      </c>
      <c r="C26" s="27">
        <f>('Ver-Construção1'!$H$14/SUM('Ver-Construção1'!$G$14:'Ver-Construção1'!$J$14))</f>
        <v>0</v>
      </c>
      <c r="D26" s="27">
        <f>('Ver-Construção1'!$I$14/SUM('Ver-Construção1'!$G$14:'Ver-Construção1'!$J$14))</f>
        <v>0</v>
      </c>
      <c r="E26" s="27">
        <f>('Ver-Construção1'!$J$14/SUM('Ver-Construção1'!$G$14:'Ver-Construção1'!$J$14))</f>
        <v>1</v>
      </c>
      <c r="M26" t="s">
        <v>3</v>
      </c>
      <c r="N26" s="27">
        <f>('Ver-Transição1'!$G$8/SUM('Ver-Transição1'!$G$8:'Ver-Transição1'!$J$8))</f>
        <v>0</v>
      </c>
      <c r="O26" s="27">
        <f>('Ver-Transição1'!$H$8/SUM('Ver-Transição1'!$G$8:'Ver-Transição1'!$J$8))</f>
        <v>0</v>
      </c>
      <c r="P26" s="27">
        <f>('Ver-Transição1'!$I$8/SUM('Ver-Transição1'!$G$8:'Ver-Transição1'!$J$8))</f>
        <v>0</v>
      </c>
      <c r="Q26" s="27">
        <f>('Ver-Transição1'!$J$8/SUM('Ver-Transição1'!$G$8:'Ver-Transição1'!$J$8))</f>
        <v>1</v>
      </c>
    </row>
    <row r="27" spans="1:17">
      <c r="A27" t="s">
        <v>36</v>
      </c>
      <c r="B27" s="27" t="e">
        <f>('Ver-Construção1'!#REF!/SUM('Ver-Construção1'!#REF!:'Ver-Construção1'!#REF!))</f>
        <v>#REF!</v>
      </c>
      <c r="C27" s="27" t="e">
        <f>('Ver-Construção1'!#REF!/SUM('Ver-Construção1'!#REF!:'Ver-Construção1'!#REF!))</f>
        <v>#REF!</v>
      </c>
      <c r="D27" s="27" t="e">
        <f>('Ver-Construção1'!#REF!/SUM('Ver-Construção1'!#REF!:'Ver-Construção1'!#REF!))</f>
        <v>#REF!</v>
      </c>
      <c r="E27" s="27" t="e">
        <f>('Ver-Construção1'!#REF!/SUM('Ver-Construção1'!#REF!:'Ver-Construção1'!#REF!))</f>
        <v>#REF!</v>
      </c>
      <c r="M27" t="s">
        <v>14</v>
      </c>
      <c r="N27" s="27">
        <f>('Ver-Transição1'!$G$10/SUM('Ver-Transição1'!$G$10:'Ver-Transição1'!$J$10))</f>
        <v>0</v>
      </c>
      <c r="O27" s="27">
        <f>('Ver-Transição1'!$H$10/SUM('Ver-Transição1'!$G$10:'Ver-Transição1'!$J$10))</f>
        <v>0</v>
      </c>
      <c r="P27" s="27">
        <f>('Ver-Transição1'!$I$10/SUM('Ver-Transição1'!$G$10:'Ver-Transição1'!$J$10))</f>
        <v>0</v>
      </c>
      <c r="Q27" s="27">
        <f>('Ver-Transição1'!$J$10/SUM('Ver-Transição1'!$G$10:'Ver-Transição1'!$J$10))</f>
        <v>1</v>
      </c>
    </row>
    <row r="28" spans="1:17">
      <c r="A28" t="s">
        <v>5</v>
      </c>
      <c r="B28" s="27">
        <f>('Ver-Construção1'!$G$16/SUM('Ver-Construção1'!$G$16:'Ver-Construção1'!$J$16))</f>
        <v>0</v>
      </c>
      <c r="C28" s="27">
        <f>('Ver-Construção1'!$H$16/SUM('Ver-Construção1'!$G$16:'Ver-Construção1'!$J$16))</f>
        <v>0</v>
      </c>
      <c r="D28" s="27">
        <f>('Ver-Construção1'!$I$16/SUM('Ver-Construção1'!$G$16:'Ver-Construção1'!$J$16))</f>
        <v>0</v>
      </c>
      <c r="E28" s="27">
        <f>('Ver-Construção1'!$J$16/SUM('Ver-Construção1'!$G$16:'Ver-Construção1'!$J$16))</f>
        <v>1</v>
      </c>
      <c r="M28" t="s">
        <v>4</v>
      </c>
      <c r="N28" s="27">
        <f>('Ver-Transição1'!$G$14/SUM('Ver-Transição1'!$G$14:'Ver-Transição1'!$J$14))</f>
        <v>0</v>
      </c>
      <c r="O28" s="27">
        <f>('Ver-Transição1'!$H$14/SUM('Ver-Transição1'!$G$14:'Ver-Transição1'!$J$14))</f>
        <v>0</v>
      </c>
      <c r="P28" s="27">
        <f>('Ver-Transição1'!$I$14/SUM('Ver-Transição1'!$G$14:'Ver-Transição1'!$J$14))</f>
        <v>0</v>
      </c>
      <c r="Q28" s="27">
        <f>('Ver-Transição1'!$J$14/SUM('Ver-Transição1'!$G$14:'Ver-Transição1'!$J$14))</f>
        <v>1</v>
      </c>
    </row>
    <row r="29" spans="1:17">
      <c r="A29" t="s">
        <v>7</v>
      </c>
      <c r="B29" s="27" t="e">
        <f>('Ver-Construção1'!#REF!/SUM('Ver-Construção1'!#REF!:'Ver-Construção1'!#REF!))</f>
        <v>#REF!</v>
      </c>
      <c r="C29" s="27" t="e">
        <f>('Ver-Construção1'!#REF!/SUM('Ver-Construção1'!#REF!:'Ver-Construção1'!#REF!))</f>
        <v>#REF!</v>
      </c>
      <c r="D29" s="27" t="e">
        <f>('Ver-Construção1'!#REF!/SUM('Ver-Construção1'!#REF!:'Ver-Construção1'!#REF!))</f>
        <v>#REF!</v>
      </c>
      <c r="E29" s="27" t="e">
        <f>('Ver-Construção1'!#REF!/SUM('Ver-Construção1'!#REF!:'Ver-Construção1'!#REF!))</f>
        <v>#REF!</v>
      </c>
      <c r="M29" t="s">
        <v>36</v>
      </c>
      <c r="N29" s="27" t="e">
        <f>('Ver-Transição1'!#REF!/SUM('Ver-Transição1'!#REF!:'Ver-Transição1'!#REF!))</f>
        <v>#REF!</v>
      </c>
      <c r="O29" s="27" t="e">
        <f>('Ver-Transição1'!#REF!/SUM('Ver-Transição1'!#REF!:'Ver-Transição1'!#REF!))</f>
        <v>#REF!</v>
      </c>
      <c r="P29" s="27" t="e">
        <f>('Ver-Transição1'!#REF!/SUM('Ver-Transição1'!#REF!:'Ver-Transição1'!#REF!))</f>
        <v>#REF!</v>
      </c>
      <c r="Q29" s="27" t="e">
        <f>('Ver-Transição1'!#REF!/SUM('Ver-Transição1'!#REF!:'Ver-Transição1'!#REF!))</f>
        <v>#REF!</v>
      </c>
    </row>
    <row r="30" spans="1:17">
      <c r="A30" t="s">
        <v>6</v>
      </c>
      <c r="B30" s="27">
        <f>('Ver-Construção1'!$G$18/SUM('Ver-Construção1'!$G$18:'Ver-Construção1'!$J$18))</f>
        <v>0</v>
      </c>
      <c r="C30" s="27">
        <f>('Ver-Construção1'!$H$18/SUM('Ver-Construção1'!$G$18:'Ver-Construção1'!$J$18))</f>
        <v>0</v>
      </c>
      <c r="D30" s="27">
        <f>('Ver-Construção1'!$I$18/SUM('Ver-Construção1'!$G$18:'Ver-Construção1'!$J$18))</f>
        <v>0</v>
      </c>
      <c r="E30" s="27">
        <f>('Ver-Construção1'!$J$18/SUM('Ver-Construção1'!$G$18:'Ver-Construção1'!$J$18))</f>
        <v>1</v>
      </c>
      <c r="M30" t="s">
        <v>5</v>
      </c>
      <c r="N30" s="27">
        <f>('Ver-Transição1'!$G$16/SUM('Ver-Transição1'!$G$16:'Ver-Transição1'!$J$16))</f>
        <v>0</v>
      </c>
      <c r="O30" s="27">
        <f>('Ver-Transição1'!$H$16/SUM('Ver-Transição1'!$G$16:'Ver-Transição1'!$J$16))</f>
        <v>0</v>
      </c>
      <c r="P30" s="27">
        <f>('Ver-Transição1'!$I$16/SUM('Ver-Transição1'!$G$16:'Ver-Transição1'!$J$16))</f>
        <v>0</v>
      </c>
      <c r="Q30" s="27">
        <f>('Ver-Transição1'!$J$16/SUM('Ver-Transição1'!$G$16:'Ver-Transição1'!$J$16))</f>
        <v>1</v>
      </c>
    </row>
    <row r="31" spans="1:17">
      <c r="A31" t="s">
        <v>8</v>
      </c>
      <c r="B31" s="27">
        <f>('Ver-Construção1'!$G$24/SUM('Ver-Construção1'!$G$24:'Ver-Construção1'!$J$24))</f>
        <v>0</v>
      </c>
      <c r="C31" s="27">
        <f>('Ver-Construção1'!$H$24/SUM('Ver-Construção1'!$G$24:'Ver-Construção1'!$J$24))</f>
        <v>0</v>
      </c>
      <c r="D31" s="27">
        <f>('Ver-Construção1'!$I$24/SUM('Ver-Construção1'!$G$24:'Ver-Construção1'!$J$24))</f>
        <v>0</v>
      </c>
      <c r="E31" s="27">
        <f>('Ver-Construção1'!$J$24/SUM('Ver-Construção1'!$G$24:'Ver-Construção1'!$J$24))</f>
        <v>1</v>
      </c>
      <c r="M31" t="s">
        <v>6</v>
      </c>
      <c r="N31" s="27">
        <f>('Ver-Transição1'!$G$18/SUM('Ver-Transição1'!$G$18:'Ver-Transição1'!$J$18))</f>
        <v>0</v>
      </c>
      <c r="O31" s="27">
        <f>('Ver-Transição1'!$H$18/SUM('Ver-Transição1'!$G$18:'Ver-Transição1'!$J$18))</f>
        <v>0</v>
      </c>
      <c r="P31" s="27">
        <f>('Ver-Transição1'!$I$18/SUM('Ver-Transição1'!$G$18:'Ver-Transição1'!$J$18))</f>
        <v>0</v>
      </c>
      <c r="Q31" s="27">
        <f>('Ver-Transição1'!$J$18/SUM('Ver-Transição1'!$G$18:'Ver-Transição1'!$J$18))</f>
        <v>1</v>
      </c>
    </row>
    <row r="32" spans="1:17">
      <c r="A32" t="s">
        <v>13</v>
      </c>
      <c r="B32" s="27">
        <f>('Ver-Construção1'!$G$30/SUM('Ver-Construção1'!$G$30:'Ver-Construção1'!$J$30))</f>
        <v>0</v>
      </c>
      <c r="C32" s="27">
        <f>('Ver-Construção1'!$H$30/SUM('Ver-Construção1'!$G$30:'Ver-Construção1'!$J$30))</f>
        <v>0</v>
      </c>
      <c r="D32" s="27">
        <f>('Ver-Construção1'!$I$30/SUM('Ver-Construção1'!$G$30:'Ver-Construção1'!$J$30))</f>
        <v>0</v>
      </c>
      <c r="E32" s="27">
        <f>('Ver-Construção1'!$J$30/SUM('Ver-Construção1'!$G$30:'Ver-Construção1'!$J$30))</f>
        <v>1</v>
      </c>
      <c r="M32" t="s">
        <v>8</v>
      </c>
      <c r="N32" s="27">
        <f>('Ver-Transição1'!$G$23/SUM('Ver-Transição1'!$G$23:'Ver-Transição1'!$J$23))</f>
        <v>0</v>
      </c>
      <c r="O32" s="27">
        <f>('Ver-Transição1'!$H$23/SUM('Ver-Transição1'!$G$23:'Ver-Transição1'!$J$23))</f>
        <v>0</v>
      </c>
      <c r="P32" s="27">
        <f>('Ver-Transição1'!$I$23/SUM('Ver-Transição1'!$G$23:'Ver-Transição1'!$J$23))</f>
        <v>0</v>
      </c>
      <c r="Q32" s="27">
        <f>('Ver-Transição1'!$J$23/SUM('Ver-Transição1'!$G$23:'Ver-Transição1'!$J$23))</f>
        <v>1</v>
      </c>
    </row>
    <row r="33" spans="1:17">
      <c r="A33" t="s">
        <v>56</v>
      </c>
      <c r="B33" s="27">
        <f>('Ver-Construção1'!$G$36/SUM('Ver-Construção1'!$G$36:'Ver-Construção1'!$J$36))</f>
        <v>0</v>
      </c>
      <c r="C33" s="27">
        <f>('Ver-Construção1'!$H$36/SUM('Ver-Construção1'!$G$36:'Ver-Construção1'!$J$36))</f>
        <v>0</v>
      </c>
      <c r="D33" s="27">
        <f>('Ver-Construção1'!$I$36/SUM('Ver-Construção1'!$G$36:'Ver-Construção1'!$J$36))</f>
        <v>0</v>
      </c>
      <c r="E33" s="27">
        <f>('Ver-Construção1'!$J$36/SUM('Ver-Construção1'!$G$36:'Ver-Construção1'!$J$36))</f>
        <v>1</v>
      </c>
      <c r="M33" t="s">
        <v>9</v>
      </c>
      <c r="N33" s="27">
        <f>('Ver-Transição1'!$G$26/SUM('Ver-Transição1'!$G$26:'Ver-Transição1'!$J$26))</f>
        <v>0</v>
      </c>
      <c r="O33" s="27">
        <f>('Ver-Transição1'!$H$26/SUM('Ver-Transição1'!$G$26:'Ver-Transição1'!$J$26))</f>
        <v>0</v>
      </c>
      <c r="P33" s="27">
        <f>('Ver-Transição1'!$I$26/SUM('Ver-Transição1'!$G$26:'Ver-Transição1'!$J$26))</f>
        <v>0</v>
      </c>
      <c r="Q33" s="27">
        <f>('Ver-Transição1'!$J$26/SUM('Ver-Transição1'!$G$26:'Ver-Transição1'!$J$26))</f>
        <v>1</v>
      </c>
    </row>
    <row r="34" spans="1:17">
      <c r="A34" t="s">
        <v>15</v>
      </c>
      <c r="B34" s="27">
        <f>('Ver-Construção1'!$G$41/SUM('Ver-Construção1'!$G$41:'Ver-Construção1'!$J$41))</f>
        <v>0</v>
      </c>
      <c r="C34" s="27">
        <f>('Ver-Construção1'!$H$41/SUM('Ver-Construção1'!$G$41:'Ver-Construção1'!$J$41))</f>
        <v>0</v>
      </c>
      <c r="D34" s="27">
        <f>('Ver-Construção1'!$I$41/SUM('Ver-Construção1'!$G$41:'Ver-Construção1'!$J$41))</f>
        <v>0</v>
      </c>
      <c r="E34" s="27">
        <f>('Ver-Construção1'!$J$41/SUM('Ver-Construção1'!$G$41:'Ver-Construção1'!$J$41))</f>
        <v>1</v>
      </c>
      <c r="M34" t="s">
        <v>10</v>
      </c>
      <c r="N34" s="26">
        <f>('Ver-Transição1'!$G$29/SUM('Ver-Transição1'!$G$29:'Ver-Transição1'!$J$29))</f>
        <v>0</v>
      </c>
      <c r="O34" s="27">
        <f>('Ver-Transição1'!$H$29/SUM('Ver-Transição1'!$G$29:'Ver-Transição1'!$J$29))</f>
        <v>0</v>
      </c>
      <c r="P34" s="27">
        <f>('Ver-Transição1'!$I$29/SUM('Ver-Transição1'!$G$29:'Ver-Transição1'!$J$29))</f>
        <v>0</v>
      </c>
      <c r="Q34" s="27">
        <f>('Ver-Transição1'!$J$29/SUM('Ver-Transição1'!$G$29:'Ver-Transição1'!$J$29))</f>
        <v>1</v>
      </c>
    </row>
    <row r="35" spans="1:17">
      <c r="M35" t="s">
        <v>13</v>
      </c>
      <c r="N35" s="27">
        <f>('Ver-Transição1'!$G$31/SUM('Ver-Transição1'!$G$31:'Ver-Transição1'!$J$31))</f>
        <v>0</v>
      </c>
      <c r="O35" s="27">
        <f>('Ver-Transição1'!$H$31/SUM('Ver-Transição1'!$G$31:'Ver-Transição1'!$J$31))</f>
        <v>0</v>
      </c>
      <c r="P35" s="27">
        <f>('Ver-Transição1'!$I$31/SUM('Ver-Transição1'!$G$31:'Ver-Transição1'!$J$31))</f>
        <v>0</v>
      </c>
      <c r="Q35" s="27">
        <f>('Ver-Transição1'!$J$31/SUM('Ver-Transição1'!$G$31:'Ver-Transição1'!$J$31))</f>
        <v>1</v>
      </c>
    </row>
    <row r="36" spans="1:17">
      <c r="M36" t="s">
        <v>56</v>
      </c>
      <c r="N36" s="27">
        <f>('Ver-Transição1'!$G$37/SUM('Ver-Transição1'!$G$37:'Ver-Transição1'!$J$37))</f>
        <v>0</v>
      </c>
      <c r="O36" s="27">
        <f>('Ver-Transição1'!$H$37/SUM('Ver-Transição1'!$G$37:'Ver-Transição1'!$J$37))</f>
        <v>0</v>
      </c>
      <c r="P36" s="27">
        <f>('Ver-Transição1'!$I$37/SUM('Ver-Transição1'!$G$37:'Ver-Transição1'!$J$37))</f>
        <v>0</v>
      </c>
      <c r="Q36" s="27">
        <f>('Ver-Transição1'!$J$37/SUM('Ver-Transição1'!$G$37:'Ver-Transição1'!$J$37))</f>
        <v>1</v>
      </c>
    </row>
    <row r="37" spans="1:17">
      <c r="M37" t="s">
        <v>15</v>
      </c>
      <c r="N37" s="27">
        <f>('Ver-Transição1'!$G$42/SUM('Ver-Transição1'!$G$42:'Ver-Transição1'!$J$42))</f>
        <v>0</v>
      </c>
      <c r="O37" s="27">
        <f>('Ver-Transição1'!$H$42/SUM('Ver-Transição1'!$G$42:'Ver-Transição1'!$J$42))</f>
        <v>0</v>
      </c>
      <c r="P37" s="27">
        <f>('Ver-Transição1'!$I$42/SUM('Ver-Transição1'!$G$42:'Ver-Transição1'!$J$42))</f>
        <v>0</v>
      </c>
      <c r="Q37" s="27">
        <f>('Ver-Transição1'!$J$42/SUM('Ver-Transição1'!$G$42:'Ver-Transição1'!$J$42))</f>
        <v>1</v>
      </c>
    </row>
  </sheetData>
  <pageMargins left="0.511811024" right="0.511811024" top="0.78740157499999996" bottom="0.78740157499999996" header="0.31496062000000002" footer="0.31496062000000002"/>
  <ignoredErrors>
    <ignoredError sqref="P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tabSelected="1" zoomScaleNormal="100" workbookViewId="0">
      <selection activeCell="O12" sqref="O12"/>
    </sheetView>
  </sheetViews>
  <sheetFormatPr defaultRowHeight="18.75"/>
  <cols>
    <col min="1" max="1" width="21.140625" customWidth="1"/>
    <col min="2" max="2" width="5.28515625" style="4" customWidth="1"/>
    <col min="3" max="3" width="84" style="2" customWidth="1"/>
    <col min="4" max="4" width="12.7109375" bestFit="1" customWidth="1"/>
    <col min="5" max="5" width="31.85546875" customWidth="1"/>
    <col min="6" max="6" width="28" customWidth="1"/>
    <col min="7" max="7" width="4.42578125" hidden="1" customWidth="1"/>
    <col min="8" max="8" width="6.140625" hidden="1" customWidth="1"/>
    <col min="9" max="9" width="9.28515625" hidden="1" customWidth="1"/>
    <col min="10" max="10" width="6" hidden="1" customWidth="1"/>
  </cols>
  <sheetData>
    <row r="1" spans="1:10" ht="19.5" customHeight="1">
      <c r="A1" s="33" t="s">
        <v>16</v>
      </c>
      <c r="B1" s="33"/>
      <c r="C1" s="33"/>
      <c r="D1" s="33"/>
      <c r="E1" s="33"/>
      <c r="F1" s="33"/>
    </row>
    <row r="2" spans="1:10" ht="18.75" customHeight="1" thickBot="1">
      <c r="A2" s="34" t="s">
        <v>25</v>
      </c>
      <c r="B2" s="34"/>
      <c r="C2" s="16"/>
      <c r="D2" s="40" t="s">
        <v>44</v>
      </c>
      <c r="E2" s="41"/>
      <c r="F2" s="21">
        <f>COUNTIF(D5:D41,"Sim")/(COUNTA(D5:D41)-COUNTIF(D5:D41,"NA"))</f>
        <v>0.95</v>
      </c>
    </row>
    <row r="3" spans="1:10" ht="15.75" thickBot="1">
      <c r="A3" s="34" t="s">
        <v>26</v>
      </c>
      <c r="B3" s="34"/>
      <c r="C3" s="13"/>
      <c r="D3" s="37" t="s">
        <v>43</v>
      </c>
      <c r="E3" s="38"/>
      <c r="F3" s="39"/>
    </row>
    <row r="4" spans="1:10" ht="15">
      <c r="A4" s="6" t="s">
        <v>22</v>
      </c>
      <c r="B4" s="6" t="s">
        <v>24</v>
      </c>
      <c r="C4" s="6" t="s">
        <v>23</v>
      </c>
      <c r="D4" s="14" t="s">
        <v>29</v>
      </c>
      <c r="E4" s="15" t="s">
        <v>28</v>
      </c>
      <c r="F4" s="15" t="s">
        <v>27</v>
      </c>
    </row>
    <row r="5" spans="1:10" ht="15">
      <c r="A5" s="35" t="s">
        <v>0</v>
      </c>
      <c r="B5" s="9"/>
      <c r="C5" s="10" t="s">
        <v>1</v>
      </c>
      <c r="D5" s="12"/>
      <c r="E5" s="12"/>
      <c r="F5" s="12"/>
      <c r="G5">
        <f>COUNTIF(D6,"Sim")</f>
        <v>0</v>
      </c>
      <c r="H5">
        <f>COUNTIF(D6,"Parcialmente")</f>
        <v>0</v>
      </c>
      <c r="I5">
        <f>COUNTIF(D6,"Não")</f>
        <v>0</v>
      </c>
      <c r="J5">
        <f>COUNTIF(D6,"NA")</f>
        <v>1</v>
      </c>
    </row>
    <row r="6" spans="1:10" ht="15">
      <c r="A6" s="36"/>
      <c r="B6" s="5">
        <v>1</v>
      </c>
      <c r="C6" s="8" t="s">
        <v>33</v>
      </c>
      <c r="D6" s="3" t="s">
        <v>116</v>
      </c>
      <c r="E6" s="8"/>
      <c r="F6" s="8"/>
    </row>
    <row r="7" spans="1:10" ht="15" customHeight="1">
      <c r="A7" s="35" t="s">
        <v>17</v>
      </c>
      <c r="B7" s="9"/>
      <c r="C7" s="10" t="s">
        <v>2</v>
      </c>
      <c r="D7" s="12"/>
      <c r="E7" s="12"/>
      <c r="F7" s="12"/>
      <c r="G7">
        <f>COUNTIF(D8:D12,"Sim")</f>
        <v>4</v>
      </c>
      <c r="H7">
        <f>COUNTIF(D8:D12,"Parcialmente")</f>
        <v>1</v>
      </c>
      <c r="I7">
        <f>COUNTIF(D8:D12,"Não")</f>
        <v>0</v>
      </c>
      <c r="J7">
        <f>COUNTIF(D8:D12,"NA")</f>
        <v>0</v>
      </c>
    </row>
    <row r="8" spans="1:10" ht="30">
      <c r="A8" s="32"/>
      <c r="B8" s="22">
        <v>2</v>
      </c>
      <c r="C8" s="24" t="s">
        <v>72</v>
      </c>
      <c r="D8" s="3" t="s">
        <v>114</v>
      </c>
      <c r="E8" s="8"/>
      <c r="F8" s="8"/>
    </row>
    <row r="9" spans="1:10" ht="15">
      <c r="A9" s="32"/>
      <c r="B9" s="5">
        <v>3</v>
      </c>
      <c r="C9" s="8" t="s">
        <v>31</v>
      </c>
      <c r="D9" s="3" t="s">
        <v>114</v>
      </c>
      <c r="E9" s="8"/>
      <c r="F9" s="8"/>
    </row>
    <row r="10" spans="1:10" ht="15">
      <c r="A10" s="32"/>
      <c r="B10" s="5">
        <v>4</v>
      </c>
      <c r="C10" s="8" t="s">
        <v>77</v>
      </c>
      <c r="D10" s="3" t="s">
        <v>114</v>
      </c>
      <c r="E10" s="8"/>
      <c r="F10" s="8"/>
    </row>
    <row r="11" spans="1:10" s="1" customFormat="1" ht="15">
      <c r="A11" s="32"/>
      <c r="B11" s="5">
        <v>5</v>
      </c>
      <c r="C11" s="8" t="s">
        <v>32</v>
      </c>
      <c r="D11" s="3" t="s">
        <v>114</v>
      </c>
      <c r="E11" s="8"/>
      <c r="F11" s="8"/>
    </row>
    <row r="12" spans="1:10" ht="30">
      <c r="A12" s="32"/>
      <c r="B12" s="5">
        <v>6</v>
      </c>
      <c r="C12" s="8" t="s">
        <v>40</v>
      </c>
      <c r="D12" s="3" t="s">
        <v>115</v>
      </c>
      <c r="E12" s="8" t="s">
        <v>117</v>
      </c>
      <c r="F12" s="8"/>
    </row>
    <row r="13" spans="1:10" ht="15">
      <c r="A13" s="32"/>
      <c r="B13" s="9"/>
      <c r="C13" s="10" t="s">
        <v>3</v>
      </c>
      <c r="D13" s="12"/>
      <c r="E13" s="12"/>
      <c r="F13" s="12"/>
      <c r="G13">
        <f>COUNTIF(D14:D18,"Sim")</f>
        <v>3</v>
      </c>
      <c r="H13">
        <f>COUNTIF(D14:D18,"Parcialmente")</f>
        <v>0</v>
      </c>
      <c r="I13">
        <f>COUNTIF(D14:D18,"Não")</f>
        <v>0</v>
      </c>
      <c r="J13">
        <f>COUNTIF(D14:D18,"NA")</f>
        <v>2</v>
      </c>
    </row>
    <row r="14" spans="1:10" ht="30">
      <c r="A14" s="32"/>
      <c r="B14" s="23">
        <v>7</v>
      </c>
      <c r="C14" s="24" t="s">
        <v>72</v>
      </c>
      <c r="D14" s="3" t="s">
        <v>114</v>
      </c>
      <c r="E14" s="8"/>
      <c r="F14" s="8"/>
    </row>
    <row r="15" spans="1:10" s="1" customFormat="1" ht="30">
      <c r="A15" s="32"/>
      <c r="B15" s="5">
        <v>8</v>
      </c>
      <c r="C15" s="8" t="s">
        <v>34</v>
      </c>
      <c r="D15" s="3" t="s">
        <v>114</v>
      </c>
      <c r="E15" s="8"/>
      <c r="F15" s="8"/>
    </row>
    <row r="16" spans="1:10" s="1" customFormat="1" ht="30">
      <c r="A16" s="32"/>
      <c r="B16" s="5">
        <v>9</v>
      </c>
      <c r="C16" s="8" t="s">
        <v>79</v>
      </c>
      <c r="D16" s="3" t="s">
        <v>114</v>
      </c>
      <c r="E16" s="8"/>
      <c r="F16" s="8"/>
    </row>
    <row r="17" spans="1:10" s="1" customFormat="1" ht="30">
      <c r="A17" s="32"/>
      <c r="B17" s="23">
        <v>10</v>
      </c>
      <c r="C17" s="24" t="s">
        <v>76</v>
      </c>
      <c r="D17" s="3" t="s">
        <v>116</v>
      </c>
      <c r="E17" s="8"/>
      <c r="F17" s="8"/>
    </row>
    <row r="18" spans="1:10" s="1" customFormat="1" ht="15">
      <c r="A18" s="32"/>
      <c r="B18" s="5">
        <v>11</v>
      </c>
      <c r="C18" s="8" t="s">
        <v>75</v>
      </c>
      <c r="D18" s="3" t="s">
        <v>116</v>
      </c>
      <c r="E18" s="8"/>
      <c r="F18" s="8"/>
    </row>
    <row r="19" spans="1:10" ht="15">
      <c r="A19" s="32"/>
      <c r="B19" s="9"/>
      <c r="C19" s="10" t="s">
        <v>97</v>
      </c>
      <c r="D19" s="12"/>
      <c r="E19" s="12"/>
      <c r="F19" s="12"/>
      <c r="G19">
        <f>COUNTIF(D20:D21,"Sim")</f>
        <v>0</v>
      </c>
      <c r="H19">
        <f>COUNTIF(D20:D21,"Parcialmente")</f>
        <v>0</v>
      </c>
      <c r="I19">
        <f>COUNTIF(D20:D21,"Não")</f>
        <v>0</v>
      </c>
      <c r="J19">
        <f>COUNTIF(D20:D21,"NA")</f>
        <v>2</v>
      </c>
    </row>
    <row r="20" spans="1:10" ht="30">
      <c r="A20" s="32"/>
      <c r="B20" s="23">
        <v>12</v>
      </c>
      <c r="C20" s="24" t="s">
        <v>78</v>
      </c>
      <c r="D20" s="3" t="s">
        <v>116</v>
      </c>
      <c r="E20" s="8"/>
      <c r="F20" s="8"/>
    </row>
    <row r="21" spans="1:10" ht="30">
      <c r="A21" s="32"/>
      <c r="B21" s="5">
        <v>13</v>
      </c>
      <c r="C21" s="8" t="s">
        <v>80</v>
      </c>
      <c r="D21" s="3" t="s">
        <v>116</v>
      </c>
      <c r="E21" s="8"/>
      <c r="F21" s="8"/>
    </row>
    <row r="22" spans="1:10" ht="15">
      <c r="A22" s="32"/>
      <c r="B22" s="9"/>
      <c r="C22" s="10" t="s">
        <v>4</v>
      </c>
      <c r="D22" s="12"/>
      <c r="E22" s="12"/>
      <c r="F22" s="12"/>
      <c r="G22">
        <f>COUNTIF(D23:D24,"Sim")</f>
        <v>0</v>
      </c>
      <c r="H22">
        <f>COUNTIF(D23:D24,"Parcialmente")</f>
        <v>0</v>
      </c>
      <c r="I22">
        <f>COUNTIF(D23:D24,"Não")</f>
        <v>0</v>
      </c>
      <c r="J22">
        <f>COUNTIF(D23:D24,"NA")</f>
        <v>2</v>
      </c>
    </row>
    <row r="23" spans="1:10" ht="30">
      <c r="A23" s="32"/>
      <c r="B23" s="23">
        <v>14</v>
      </c>
      <c r="C23" s="24" t="s">
        <v>72</v>
      </c>
      <c r="D23" s="3" t="s">
        <v>116</v>
      </c>
      <c r="E23" s="8"/>
      <c r="F23" s="8"/>
    </row>
    <row r="24" spans="1:10" ht="15">
      <c r="A24" s="32"/>
      <c r="B24" s="5">
        <v>15</v>
      </c>
      <c r="C24" s="8" t="s">
        <v>35</v>
      </c>
      <c r="D24" s="3" t="s">
        <v>116</v>
      </c>
      <c r="E24" s="8"/>
      <c r="F24" s="8"/>
    </row>
    <row r="25" spans="1:10" ht="15">
      <c r="A25" s="32"/>
      <c r="B25" s="9"/>
      <c r="C25" s="10" t="s">
        <v>36</v>
      </c>
      <c r="D25" s="12"/>
      <c r="E25" s="12"/>
      <c r="F25" s="12"/>
      <c r="G25">
        <f>COUNTIF(D26:D27,"Sim")</f>
        <v>0</v>
      </c>
      <c r="H25">
        <f>COUNTIF(D26:D27,"Parcialmente")</f>
        <v>0</v>
      </c>
      <c r="I25">
        <f>COUNTIF(D26:D27,"Não")</f>
        <v>0</v>
      </c>
      <c r="J25">
        <f>COUNTIF(D26:D27,"NA")</f>
        <v>2</v>
      </c>
    </row>
    <row r="26" spans="1:10" ht="30">
      <c r="A26" s="32"/>
      <c r="B26" s="23">
        <v>16</v>
      </c>
      <c r="C26" s="24" t="s">
        <v>72</v>
      </c>
      <c r="D26" s="3" t="s">
        <v>116</v>
      </c>
      <c r="E26" s="8"/>
      <c r="F26" s="8"/>
    </row>
    <row r="27" spans="1:10" ht="15">
      <c r="A27" s="32"/>
      <c r="B27" s="5">
        <v>17</v>
      </c>
      <c r="C27" s="8" t="s">
        <v>37</v>
      </c>
      <c r="D27" s="3" t="s">
        <v>116</v>
      </c>
      <c r="E27" s="8"/>
      <c r="F27" s="8"/>
    </row>
    <row r="28" spans="1:10" ht="15">
      <c r="A28" s="32"/>
      <c r="B28" s="9"/>
      <c r="C28" s="10" t="s">
        <v>13</v>
      </c>
      <c r="D28" s="12"/>
      <c r="E28" s="12"/>
      <c r="F28" s="12"/>
      <c r="G28">
        <f>COUNTIF(D29:D36,"Sim")</f>
        <v>8</v>
      </c>
      <c r="H28">
        <f>COUNTIF(D29:D36,"Parcialmente")</f>
        <v>0</v>
      </c>
      <c r="I28">
        <f>COUNTIF(D29:D36,"Não")</f>
        <v>0</v>
      </c>
      <c r="J28">
        <f>COUNTIF(D29:D36,"NA")</f>
        <v>0</v>
      </c>
    </row>
    <row r="29" spans="1:10" ht="30">
      <c r="A29" s="32"/>
      <c r="B29" s="23">
        <v>21</v>
      </c>
      <c r="C29" s="24" t="s">
        <v>72</v>
      </c>
      <c r="D29" s="3" t="s">
        <v>114</v>
      </c>
      <c r="E29" s="8"/>
      <c r="F29" s="8"/>
    </row>
    <row r="30" spans="1:10" ht="15">
      <c r="A30" s="32"/>
      <c r="B30" s="5">
        <v>22</v>
      </c>
      <c r="C30" s="8" t="s">
        <v>41</v>
      </c>
      <c r="D30" s="3" t="s">
        <v>114</v>
      </c>
      <c r="E30" s="8"/>
      <c r="F30" s="8"/>
    </row>
    <row r="31" spans="1:10" ht="15">
      <c r="A31" s="32"/>
      <c r="B31" s="5">
        <v>23</v>
      </c>
      <c r="C31" s="8" t="s">
        <v>86</v>
      </c>
      <c r="D31" s="3" t="s">
        <v>114</v>
      </c>
      <c r="E31" s="8"/>
      <c r="F31" s="8"/>
    </row>
    <row r="32" spans="1:10" ht="15">
      <c r="A32" s="32"/>
      <c r="B32" s="5">
        <v>24</v>
      </c>
      <c r="C32" s="8" t="s">
        <v>82</v>
      </c>
      <c r="D32" s="3" t="s">
        <v>114</v>
      </c>
      <c r="E32" s="8"/>
      <c r="F32" s="8"/>
    </row>
    <row r="33" spans="1:10" ht="15">
      <c r="A33" s="32"/>
      <c r="B33" s="5">
        <v>25</v>
      </c>
      <c r="C33" s="8" t="s">
        <v>83</v>
      </c>
      <c r="D33" s="3" t="s">
        <v>114</v>
      </c>
      <c r="E33" s="8"/>
      <c r="F33" s="8"/>
    </row>
    <row r="34" spans="1:10" ht="30">
      <c r="A34" s="32"/>
      <c r="B34" s="5">
        <v>26</v>
      </c>
      <c r="C34" s="8" t="s">
        <v>87</v>
      </c>
      <c r="D34" s="3" t="s">
        <v>114</v>
      </c>
      <c r="F34" s="8"/>
    </row>
    <row r="35" spans="1:10" ht="32.25" customHeight="1">
      <c r="A35" s="32"/>
      <c r="B35" s="5">
        <v>27</v>
      </c>
      <c r="C35" s="8" t="s">
        <v>84</v>
      </c>
      <c r="D35" s="3" t="s">
        <v>114</v>
      </c>
      <c r="E35" s="8"/>
      <c r="F35" s="8"/>
    </row>
    <row r="36" spans="1:10" ht="15">
      <c r="A36" s="32"/>
      <c r="B36" s="5">
        <v>28</v>
      </c>
      <c r="C36" s="8" t="s">
        <v>85</v>
      </c>
      <c r="D36" s="28" t="s">
        <v>114</v>
      </c>
      <c r="E36" s="8"/>
      <c r="F36" s="8"/>
    </row>
    <row r="37" spans="1:10" ht="15" customHeight="1">
      <c r="A37" s="30" t="s">
        <v>30</v>
      </c>
      <c r="B37" s="9"/>
      <c r="C37" s="10" t="s">
        <v>56</v>
      </c>
      <c r="D37" s="12"/>
      <c r="E37" s="12"/>
      <c r="F37" s="12"/>
      <c r="G37">
        <f>COUNTIF(D38:D41,"Sim")</f>
        <v>4</v>
      </c>
      <c r="H37">
        <f>COUNTIF(D38:D41,"Parcialmente")</f>
        <v>0</v>
      </c>
      <c r="I37">
        <f>COUNTIF(D38:D41,"Não")</f>
        <v>0</v>
      </c>
      <c r="J37">
        <f>COUNTIF(D38:D41,"NA")</f>
        <v>0</v>
      </c>
    </row>
    <row r="38" spans="1:10" ht="30">
      <c r="A38" s="31"/>
      <c r="B38" s="23">
        <v>30</v>
      </c>
      <c r="C38" s="24" t="s">
        <v>73</v>
      </c>
      <c r="D38" s="3" t="s">
        <v>114</v>
      </c>
      <c r="E38" s="8"/>
      <c r="F38" s="8"/>
    </row>
    <row r="39" spans="1:10" ht="30">
      <c r="A39" s="31"/>
      <c r="B39" s="5">
        <v>31</v>
      </c>
      <c r="C39" s="8" t="s">
        <v>38</v>
      </c>
      <c r="D39" s="3" t="s">
        <v>114</v>
      </c>
      <c r="E39" s="8"/>
      <c r="F39" s="8"/>
    </row>
    <row r="40" spans="1:10" ht="15">
      <c r="A40" s="31"/>
      <c r="B40" s="5">
        <v>32</v>
      </c>
      <c r="C40" s="8" t="s">
        <v>39</v>
      </c>
      <c r="D40" s="3" t="s">
        <v>114</v>
      </c>
      <c r="E40" s="8"/>
      <c r="F40" s="8"/>
    </row>
    <row r="41" spans="1:10" ht="30">
      <c r="A41" s="31"/>
      <c r="B41" s="5">
        <v>33</v>
      </c>
      <c r="C41" s="8" t="s">
        <v>42</v>
      </c>
      <c r="D41" s="3" t="s">
        <v>114</v>
      </c>
      <c r="E41" s="8"/>
      <c r="F41" s="8"/>
    </row>
  </sheetData>
  <mergeCells count="9">
    <mergeCell ref="A37:A41"/>
    <mergeCell ref="A28:A36"/>
    <mergeCell ref="A1:F1"/>
    <mergeCell ref="A2:B2"/>
    <mergeCell ref="A3:B3"/>
    <mergeCell ref="A5:A6"/>
    <mergeCell ref="A7:A27"/>
    <mergeCell ref="D3:F3"/>
    <mergeCell ref="D2:E2"/>
  </mergeCells>
  <dataValidations count="1">
    <dataValidation type="list" allowBlank="1" showInputMessage="1" showErrorMessage="1" sqref="D6 D20:D21 D23:D24 D26:D27 D38:D41 D14:D18 D8:D12 D29:D36" xr:uid="{3299DAEA-DE76-409E-BA4B-99D6162A5554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opLeftCell="A21" workbookViewId="0">
      <selection activeCell="C41" sqref="C41"/>
    </sheetView>
  </sheetViews>
  <sheetFormatPr defaultRowHeight="18.75"/>
  <cols>
    <col min="1" max="1" width="21.140625" customWidth="1"/>
    <col min="2" max="2" width="5.28515625" style="4" customWidth="1"/>
    <col min="3" max="3" width="68" style="2" customWidth="1"/>
    <col min="4" max="4" width="12.7109375" bestFit="1" customWidth="1"/>
    <col min="5" max="5" width="29.7109375" customWidth="1"/>
    <col min="6" max="6" width="32.7109375" customWidth="1"/>
    <col min="7" max="10" width="0" hidden="1" customWidth="1"/>
  </cols>
  <sheetData>
    <row r="1" spans="1:10" ht="19.5" customHeight="1">
      <c r="A1" s="33" t="s">
        <v>16</v>
      </c>
      <c r="B1" s="33"/>
      <c r="C1" s="33"/>
      <c r="D1" s="33"/>
      <c r="E1" s="33"/>
      <c r="F1" s="33"/>
    </row>
    <row r="2" spans="1:10" ht="18.75" customHeight="1" thickBot="1">
      <c r="A2" s="34" t="s">
        <v>25</v>
      </c>
      <c r="B2" s="34"/>
      <c r="C2" s="16"/>
      <c r="D2" s="40" t="s">
        <v>44</v>
      </c>
      <c r="E2" s="41"/>
      <c r="F2" s="21" t="e">
        <f>COUNTIF(D5:D41,"Sim")/(COUNTA(D5:D42)-COUNTIF(D5:D42,"NA"))</f>
        <v>#DIV/0!</v>
      </c>
    </row>
    <row r="3" spans="1:10" ht="15.75" thickBot="1">
      <c r="A3" s="34" t="s">
        <v>26</v>
      </c>
      <c r="B3" s="34"/>
      <c r="C3" s="13"/>
      <c r="D3" s="43" t="s">
        <v>43</v>
      </c>
      <c r="E3" s="44"/>
      <c r="F3" s="45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5" t="s">
        <v>17</v>
      </c>
      <c r="B5" s="9"/>
      <c r="C5" s="10" t="s">
        <v>2</v>
      </c>
      <c r="D5" s="12"/>
      <c r="E5" s="12"/>
      <c r="F5" s="12"/>
    </row>
    <row r="6" spans="1:10" ht="15">
      <c r="A6" s="32"/>
      <c r="B6" s="5">
        <v>1</v>
      </c>
      <c r="C6" s="8" t="s">
        <v>108</v>
      </c>
      <c r="D6" s="3" t="s">
        <v>116</v>
      </c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1</v>
      </c>
    </row>
    <row r="7" spans="1:10" ht="15">
      <c r="A7" s="32"/>
      <c r="B7" s="9"/>
      <c r="C7" s="10" t="s">
        <v>3</v>
      </c>
      <c r="D7" s="12"/>
      <c r="E7" s="12"/>
      <c r="F7" s="12"/>
    </row>
    <row r="8" spans="1:10" s="1" customFormat="1" ht="30">
      <c r="A8" s="32"/>
      <c r="B8" s="5">
        <v>2</v>
      </c>
      <c r="C8" s="8" t="s">
        <v>109</v>
      </c>
      <c r="D8" s="3" t="s">
        <v>116</v>
      </c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1</v>
      </c>
    </row>
    <row r="9" spans="1:10" s="1" customFormat="1" ht="30">
      <c r="A9" s="32"/>
      <c r="B9" s="5">
        <v>3</v>
      </c>
      <c r="C9" s="8" t="s">
        <v>98</v>
      </c>
      <c r="D9" s="3" t="s">
        <v>116</v>
      </c>
      <c r="E9" s="8"/>
      <c r="F9" s="8"/>
      <c r="G9"/>
      <c r="H9"/>
      <c r="I9"/>
      <c r="J9"/>
    </row>
    <row r="10" spans="1:10" ht="15">
      <c r="A10" s="32"/>
      <c r="B10" s="9"/>
      <c r="C10" s="10" t="s">
        <v>97</v>
      </c>
      <c r="D10" s="12"/>
      <c r="E10" s="12"/>
      <c r="F10" s="12"/>
    </row>
    <row r="11" spans="1:10" ht="30">
      <c r="A11" s="32"/>
      <c r="B11" s="23">
        <v>4</v>
      </c>
      <c r="C11" s="24" t="s">
        <v>110</v>
      </c>
      <c r="D11" s="3" t="s">
        <v>116</v>
      </c>
      <c r="E11" s="8"/>
      <c r="F11" s="8"/>
      <c r="G11">
        <f>COUNTIF(D11:D14,"Sim")</f>
        <v>0</v>
      </c>
      <c r="H11">
        <f>COUNTIF(D11:D14,"Parcialmente")</f>
        <v>0</v>
      </c>
      <c r="I11">
        <f>COUNTIF(D11:D14,"Não")</f>
        <v>0</v>
      </c>
      <c r="J11">
        <f>COUNTIF(D11:D14,"NA")</f>
        <v>4</v>
      </c>
    </row>
    <row r="12" spans="1:10" ht="30">
      <c r="A12" s="32"/>
      <c r="B12" s="23">
        <v>5</v>
      </c>
      <c r="C12" s="24" t="s">
        <v>81</v>
      </c>
      <c r="D12" s="3" t="s">
        <v>116</v>
      </c>
      <c r="E12" s="8"/>
      <c r="F12" s="8"/>
    </row>
    <row r="13" spans="1:10" ht="30">
      <c r="A13" s="32"/>
      <c r="B13" s="5">
        <v>6</v>
      </c>
      <c r="C13" s="8" t="s">
        <v>45</v>
      </c>
      <c r="D13" s="3" t="s">
        <v>116</v>
      </c>
      <c r="E13" s="8"/>
      <c r="F13" s="8"/>
    </row>
    <row r="14" spans="1:10" ht="30">
      <c r="A14" s="32"/>
      <c r="B14" s="5">
        <v>7</v>
      </c>
      <c r="C14" s="8" t="s">
        <v>47</v>
      </c>
      <c r="D14" s="3" t="s">
        <v>116</v>
      </c>
      <c r="E14" s="8"/>
      <c r="F14" s="8"/>
    </row>
    <row r="15" spans="1:10" ht="15">
      <c r="A15" s="32"/>
      <c r="B15" s="9"/>
      <c r="C15" s="10" t="s">
        <v>4</v>
      </c>
      <c r="D15" s="12"/>
      <c r="E15" s="12"/>
      <c r="F15" s="12"/>
    </row>
    <row r="16" spans="1:10" ht="15">
      <c r="A16" s="32"/>
      <c r="B16" s="5">
        <v>7</v>
      </c>
      <c r="C16" s="8" t="s">
        <v>46</v>
      </c>
      <c r="D16" s="3" t="s">
        <v>116</v>
      </c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1</v>
      </c>
    </row>
    <row r="17" spans="1:10" ht="15" customHeight="1">
      <c r="A17" s="35" t="s">
        <v>18</v>
      </c>
      <c r="B17" s="9"/>
      <c r="C17" s="10" t="s">
        <v>5</v>
      </c>
      <c r="D17" s="11"/>
      <c r="E17" s="12"/>
      <c r="F17" s="12"/>
    </row>
    <row r="18" spans="1:10" ht="30">
      <c r="A18" s="32"/>
      <c r="B18" s="5">
        <v>9</v>
      </c>
      <c r="C18" s="8" t="s">
        <v>48</v>
      </c>
      <c r="D18" s="3" t="s">
        <v>116</v>
      </c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4</v>
      </c>
    </row>
    <row r="19" spans="1:10" ht="30">
      <c r="A19" s="32"/>
      <c r="B19" s="23">
        <v>10</v>
      </c>
      <c r="C19" s="24" t="s">
        <v>51</v>
      </c>
      <c r="D19" s="3" t="s">
        <v>116</v>
      </c>
      <c r="E19" s="8"/>
      <c r="F19" s="8"/>
    </row>
    <row r="20" spans="1:10" s="1" customFormat="1" ht="30">
      <c r="A20" s="32"/>
      <c r="B20" s="5">
        <v>11</v>
      </c>
      <c r="C20" s="8" t="s">
        <v>61</v>
      </c>
      <c r="D20" s="3" t="s">
        <v>116</v>
      </c>
      <c r="E20" s="8"/>
      <c r="F20" s="8"/>
    </row>
    <row r="21" spans="1:10" ht="45">
      <c r="A21" s="32"/>
      <c r="B21" s="5">
        <v>12</v>
      </c>
      <c r="C21" s="8" t="s">
        <v>74</v>
      </c>
      <c r="D21" s="3" t="s">
        <v>116</v>
      </c>
      <c r="E21" s="8"/>
      <c r="F21" s="8"/>
    </row>
    <row r="22" spans="1:10" ht="15">
      <c r="A22" s="35" t="s">
        <v>19</v>
      </c>
      <c r="B22" s="9"/>
      <c r="C22" s="10" t="s">
        <v>6</v>
      </c>
      <c r="D22" s="11"/>
      <c r="E22" s="12"/>
      <c r="F22" s="12"/>
    </row>
    <row r="23" spans="1:10" ht="30">
      <c r="A23" s="32"/>
      <c r="B23" s="5">
        <v>17</v>
      </c>
      <c r="C23" s="8" t="s">
        <v>48</v>
      </c>
      <c r="D23" s="3" t="s">
        <v>116</v>
      </c>
      <c r="E23" s="8"/>
      <c r="F23" s="8"/>
      <c r="G23">
        <f>COUNTIF(D23:D27,"Sim")</f>
        <v>0</v>
      </c>
      <c r="H23">
        <f>COUNTIF(D23:D27,"Parcialmente")</f>
        <v>0</v>
      </c>
      <c r="I23">
        <f>COUNTIF(D23:D27,"Não")</f>
        <v>0</v>
      </c>
      <c r="J23">
        <f>COUNTIF(D23:D27,"NA")</f>
        <v>5</v>
      </c>
    </row>
    <row r="24" spans="1:10" ht="30">
      <c r="A24" s="32"/>
      <c r="B24" s="5">
        <v>18</v>
      </c>
      <c r="C24" s="8" t="s">
        <v>50</v>
      </c>
      <c r="D24" s="3" t="s">
        <v>116</v>
      </c>
      <c r="E24" s="8"/>
      <c r="F24" s="8"/>
    </row>
    <row r="25" spans="1:10" ht="30">
      <c r="A25" s="32"/>
      <c r="B25" s="5">
        <v>19</v>
      </c>
      <c r="C25" s="8" t="s">
        <v>99</v>
      </c>
      <c r="D25" s="3" t="s">
        <v>116</v>
      </c>
      <c r="E25" s="8"/>
      <c r="F25" s="8"/>
    </row>
    <row r="26" spans="1:10" ht="15">
      <c r="A26" s="32"/>
      <c r="B26" s="5">
        <v>21</v>
      </c>
      <c r="C26" s="8" t="s">
        <v>100</v>
      </c>
      <c r="D26" s="3" t="s">
        <v>116</v>
      </c>
      <c r="E26" s="8"/>
      <c r="F26" s="8"/>
    </row>
    <row r="27" spans="1:10" ht="15">
      <c r="A27" s="32"/>
      <c r="B27" s="5">
        <v>22</v>
      </c>
      <c r="C27" s="8" t="s">
        <v>101</v>
      </c>
      <c r="D27" s="3" t="s">
        <v>116</v>
      </c>
      <c r="E27" s="8"/>
      <c r="F27" s="8"/>
    </row>
    <row r="28" spans="1:10" ht="15">
      <c r="A28" s="42" t="s">
        <v>11</v>
      </c>
      <c r="B28" s="9"/>
      <c r="C28" s="10" t="s">
        <v>13</v>
      </c>
      <c r="D28" s="11"/>
      <c r="E28" s="12"/>
      <c r="F28" s="12"/>
    </row>
    <row r="29" spans="1:10" ht="15">
      <c r="A29" s="42"/>
      <c r="B29" s="5">
        <v>23</v>
      </c>
      <c r="C29" s="8" t="s">
        <v>90</v>
      </c>
      <c r="D29" s="3" t="s">
        <v>116</v>
      </c>
      <c r="E29" s="8"/>
      <c r="F29" s="8"/>
      <c r="G29">
        <f>COUNTIF(D29:D34,"Sim")</f>
        <v>0</v>
      </c>
      <c r="H29">
        <f>COUNTIF(D29:D34,"Parcialmente")</f>
        <v>0</v>
      </c>
      <c r="I29">
        <f>COUNTIF(D29:D34,"Não")</f>
        <v>0</v>
      </c>
      <c r="J29">
        <f>COUNTIF(D29:D34,"NA")</f>
        <v>6</v>
      </c>
    </row>
    <row r="30" spans="1:10" ht="15">
      <c r="A30" s="42"/>
      <c r="B30" s="5">
        <v>24</v>
      </c>
      <c r="C30" s="8" t="s">
        <v>89</v>
      </c>
      <c r="D30" s="3" t="s">
        <v>116</v>
      </c>
      <c r="E30" s="8"/>
      <c r="F30" s="8"/>
    </row>
    <row r="31" spans="1:10" ht="30">
      <c r="A31" s="42"/>
      <c r="B31" s="5">
        <v>25</v>
      </c>
      <c r="C31" s="8" t="s">
        <v>52</v>
      </c>
      <c r="D31" s="3" t="s">
        <v>116</v>
      </c>
      <c r="E31" s="8"/>
      <c r="F31" s="8"/>
    </row>
    <row r="32" spans="1:10" ht="15">
      <c r="A32" s="42"/>
      <c r="B32" s="5">
        <v>26</v>
      </c>
      <c r="C32" s="8" t="s">
        <v>88</v>
      </c>
      <c r="D32" s="3" t="s">
        <v>116</v>
      </c>
      <c r="E32" s="8"/>
      <c r="F32" s="8"/>
    </row>
    <row r="33" spans="1:10" ht="15">
      <c r="A33" s="42"/>
      <c r="B33" s="5">
        <v>27</v>
      </c>
      <c r="C33" s="8" t="s">
        <v>54</v>
      </c>
      <c r="D33" s="3" t="s">
        <v>116</v>
      </c>
      <c r="E33" s="8"/>
      <c r="F33" s="8"/>
    </row>
    <row r="34" spans="1:10" ht="15">
      <c r="A34" s="42"/>
      <c r="B34" s="5">
        <v>28</v>
      </c>
      <c r="C34" s="8" t="s">
        <v>55</v>
      </c>
      <c r="D34" s="3" t="s">
        <v>116</v>
      </c>
      <c r="E34" s="8"/>
      <c r="F34" s="8"/>
    </row>
    <row r="35" spans="1:10" ht="15" customHeight="1">
      <c r="A35" s="30" t="s">
        <v>30</v>
      </c>
      <c r="B35" s="9"/>
      <c r="C35" s="10" t="s">
        <v>56</v>
      </c>
      <c r="D35" s="11"/>
      <c r="E35" s="12"/>
      <c r="F35" s="12"/>
    </row>
    <row r="36" spans="1:10" ht="30">
      <c r="A36" s="31"/>
      <c r="B36" s="5">
        <v>29</v>
      </c>
      <c r="C36" s="8" t="s">
        <v>38</v>
      </c>
      <c r="D36" s="3" t="s">
        <v>116</v>
      </c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3</v>
      </c>
    </row>
    <row r="37" spans="1:10" ht="15">
      <c r="A37" s="31"/>
      <c r="B37" s="5">
        <v>30</v>
      </c>
      <c r="C37" s="8" t="s">
        <v>39</v>
      </c>
      <c r="D37" s="3" t="s">
        <v>116</v>
      </c>
      <c r="E37" s="8"/>
      <c r="F37" s="8"/>
    </row>
    <row r="38" spans="1:10" ht="30">
      <c r="A38" s="31"/>
      <c r="B38" s="5">
        <v>31</v>
      </c>
      <c r="C38" s="8" t="s">
        <v>42</v>
      </c>
      <c r="D38" s="3" t="s">
        <v>116</v>
      </c>
      <c r="E38" s="8"/>
      <c r="F38" s="8"/>
    </row>
    <row r="39" spans="1:10" ht="15">
      <c r="A39" s="31"/>
      <c r="B39" s="9"/>
      <c r="C39" s="10" t="s">
        <v>15</v>
      </c>
      <c r="D39" s="11"/>
      <c r="E39" s="12"/>
      <c r="F39" s="12"/>
    </row>
    <row r="40" spans="1:10" ht="15">
      <c r="A40" s="31"/>
      <c r="B40" s="5">
        <v>32</v>
      </c>
      <c r="C40" s="8" t="s">
        <v>106</v>
      </c>
      <c r="D40" s="3" t="s">
        <v>116</v>
      </c>
      <c r="E40" s="8"/>
      <c r="F40" s="8"/>
      <c r="G40">
        <f>COUNTIF(D40:D41,"Sim")</f>
        <v>0</v>
      </c>
      <c r="H40">
        <f>COUNTIF(D40:D41,"Parcialmente")</f>
        <v>0</v>
      </c>
      <c r="I40">
        <f>COUNTIF(D40:D41,"Não")</f>
        <v>0</v>
      </c>
      <c r="J40">
        <f>COUNTIF(D40:D41,"NA")</f>
        <v>2</v>
      </c>
    </row>
    <row r="41" spans="1:10" ht="15">
      <c r="A41" s="31"/>
      <c r="B41" s="5">
        <v>33</v>
      </c>
      <c r="C41" s="8" t="s">
        <v>107</v>
      </c>
      <c r="D41" s="3" t="s">
        <v>116</v>
      </c>
      <c r="E41" s="8"/>
      <c r="F41" s="8"/>
    </row>
  </sheetData>
  <mergeCells count="10">
    <mergeCell ref="A35:A41"/>
    <mergeCell ref="A17:A21"/>
    <mergeCell ref="A22:A27"/>
    <mergeCell ref="A28:A34"/>
    <mergeCell ref="A1:F1"/>
    <mergeCell ref="A2:B2"/>
    <mergeCell ref="A3:B3"/>
    <mergeCell ref="D2:E2"/>
    <mergeCell ref="D3:F3"/>
    <mergeCell ref="A5:A16"/>
  </mergeCells>
  <dataValidations count="2">
    <dataValidation type="list" allowBlank="1" showInputMessage="1" showErrorMessage="1" sqref="D17 D22 D28 D35 D39" xr:uid="{00000000-0002-0000-0200-000000000000}">
      <formula1>"Sim,Não,NA"</formula1>
    </dataValidation>
    <dataValidation type="list" allowBlank="1" showInputMessage="1" showErrorMessage="1" sqref="D36:D38 D29:D34 D23:D27 D16 D11:D14 D8:D9 D18:D21 D6 D40:D41" xr:uid="{08EF66E2-96BC-4443-A5E2-B5C56733D826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57"/>
  <sheetViews>
    <sheetView topLeftCell="A15" workbookViewId="0">
      <selection activeCell="D41" activeCellId="10" sqref="D3:F3 D6 D8 D10:D12 D14 D16 D18:D22 D24:D28 D30:D34 D36:D39 D41:D42"/>
    </sheetView>
  </sheetViews>
  <sheetFormatPr defaultRowHeight="18.75"/>
  <cols>
    <col min="1" max="1" width="21.140625" customWidth="1"/>
    <col min="2" max="2" width="5.28515625" style="4" customWidth="1"/>
    <col min="3" max="3" width="71.28515625" style="2" bestFit="1" customWidth="1"/>
    <col min="4" max="4" width="12.7109375" bestFit="1" customWidth="1"/>
    <col min="5" max="5" width="29.7109375" customWidth="1"/>
    <col min="6" max="6" width="32.7109375" customWidth="1"/>
    <col min="7" max="10" width="9.140625" hidden="1" customWidth="1"/>
  </cols>
  <sheetData>
    <row r="1" spans="1:10" ht="19.5" customHeight="1">
      <c r="A1" s="33" t="s">
        <v>16</v>
      </c>
      <c r="B1" s="33"/>
      <c r="C1" s="33"/>
      <c r="D1" s="33"/>
      <c r="E1" s="33"/>
      <c r="F1" s="33"/>
    </row>
    <row r="2" spans="1:10" ht="18.75" customHeight="1" thickBot="1">
      <c r="A2" s="34" t="s">
        <v>25</v>
      </c>
      <c r="B2" s="34"/>
      <c r="C2" s="16"/>
      <c r="D2" s="40" t="s">
        <v>44</v>
      </c>
      <c r="E2" s="41"/>
      <c r="F2" s="21" t="e">
        <f>COUNTIF(D5:D42,"Sim")/(COUNTA(D5:D41)-COUNTIF(D5:D41,"NA"))</f>
        <v>#DIV/0!</v>
      </c>
    </row>
    <row r="3" spans="1:10" ht="15">
      <c r="A3" s="34" t="s">
        <v>26</v>
      </c>
      <c r="B3" s="34"/>
      <c r="C3" s="13"/>
      <c r="D3" s="3" t="s">
        <v>116</v>
      </c>
      <c r="E3" s="3" t="s">
        <v>116</v>
      </c>
      <c r="F3" s="3" t="s">
        <v>116</v>
      </c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5" t="s">
        <v>17</v>
      </c>
      <c r="B5" s="9"/>
      <c r="C5" s="10" t="s">
        <v>2</v>
      </c>
      <c r="D5" s="12"/>
      <c r="E5" s="12"/>
      <c r="F5" s="12"/>
    </row>
    <row r="6" spans="1:10" ht="15">
      <c r="A6" s="32"/>
      <c r="B6" s="5">
        <v>1</v>
      </c>
      <c r="C6" s="8" t="s">
        <v>108</v>
      </c>
      <c r="D6" s="3" t="s">
        <v>116</v>
      </c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1</v>
      </c>
    </row>
    <row r="7" spans="1:10" ht="15">
      <c r="A7" s="32"/>
      <c r="B7" s="9"/>
      <c r="C7" s="10" t="s">
        <v>3</v>
      </c>
      <c r="D7" s="12"/>
      <c r="E7" s="12"/>
      <c r="F7" s="12"/>
    </row>
    <row r="8" spans="1:10" s="1" customFormat="1" ht="30">
      <c r="A8" s="32"/>
      <c r="B8" s="5">
        <v>2</v>
      </c>
      <c r="C8" s="8" t="s">
        <v>109</v>
      </c>
      <c r="D8" s="3" t="s">
        <v>116</v>
      </c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1</v>
      </c>
    </row>
    <row r="9" spans="1:10" ht="15">
      <c r="A9" s="32"/>
      <c r="B9" s="9"/>
      <c r="C9" s="10" t="s">
        <v>97</v>
      </c>
      <c r="D9" s="12"/>
      <c r="E9" s="12"/>
      <c r="F9" s="12"/>
    </row>
    <row r="10" spans="1:10" ht="30">
      <c r="A10" s="32"/>
      <c r="B10" s="5">
        <v>3</v>
      </c>
      <c r="C10" s="8" t="s">
        <v>110</v>
      </c>
      <c r="D10" s="3" t="s">
        <v>116</v>
      </c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3</v>
      </c>
    </row>
    <row r="11" spans="1:10" ht="30">
      <c r="A11" s="32"/>
      <c r="B11" s="5">
        <v>4</v>
      </c>
      <c r="C11" s="8" t="s">
        <v>111</v>
      </c>
      <c r="D11" s="3" t="s">
        <v>116</v>
      </c>
      <c r="E11" s="8"/>
      <c r="F11" s="8"/>
    </row>
    <row r="12" spans="1:10" ht="18.75" customHeight="1">
      <c r="A12" s="32"/>
      <c r="B12" s="5">
        <v>5</v>
      </c>
      <c r="C12" s="8" t="s">
        <v>45</v>
      </c>
      <c r="D12" s="3" t="s">
        <v>116</v>
      </c>
      <c r="E12" s="8"/>
      <c r="F12" s="8"/>
    </row>
    <row r="13" spans="1:10" ht="15">
      <c r="A13" s="32"/>
      <c r="B13" s="9"/>
      <c r="C13" s="10" t="s">
        <v>4</v>
      </c>
      <c r="D13" s="12"/>
      <c r="E13" s="12"/>
      <c r="F13" s="12"/>
    </row>
    <row r="14" spans="1:10" ht="15">
      <c r="A14" s="32"/>
      <c r="B14" s="5">
        <v>6</v>
      </c>
      <c r="C14" s="8" t="s">
        <v>46</v>
      </c>
      <c r="D14" s="3" t="s">
        <v>116</v>
      </c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1</v>
      </c>
    </row>
    <row r="15" spans="1:10" ht="15" customHeight="1">
      <c r="A15" s="35" t="s">
        <v>18</v>
      </c>
      <c r="B15" s="9"/>
      <c r="C15" s="10" t="s">
        <v>5</v>
      </c>
      <c r="D15" s="11"/>
      <c r="E15" s="12"/>
      <c r="F15" s="12"/>
    </row>
    <row r="16" spans="1:10" ht="15">
      <c r="A16" s="32"/>
      <c r="B16" s="5">
        <v>8</v>
      </c>
      <c r="C16" s="8" t="s">
        <v>60</v>
      </c>
      <c r="D16" s="3" t="s">
        <v>116</v>
      </c>
      <c r="E16" s="8"/>
      <c r="F16" s="8"/>
      <c r="G16">
        <f>COUNTIF(D16:D16,"Sim")</f>
        <v>0</v>
      </c>
      <c r="H16">
        <f>COUNTIF(D16:D16,"Parcialmente")</f>
        <v>0</v>
      </c>
      <c r="I16">
        <f>COUNTIF(D16:D16,"Não")</f>
        <v>0</v>
      </c>
      <c r="J16">
        <f>COUNTIF(D16:D16,"NA")</f>
        <v>1</v>
      </c>
    </row>
    <row r="17" spans="1:10" ht="15">
      <c r="A17" s="35" t="s">
        <v>19</v>
      </c>
      <c r="B17" s="9"/>
      <c r="C17" s="10" t="s">
        <v>6</v>
      </c>
      <c r="D17" s="11"/>
      <c r="E17" s="12"/>
      <c r="F17" s="12"/>
    </row>
    <row r="18" spans="1:10" ht="15">
      <c r="A18" s="32"/>
      <c r="B18" s="5">
        <v>11</v>
      </c>
      <c r="C18" s="8" t="s">
        <v>102</v>
      </c>
      <c r="D18" s="3" t="s">
        <v>116</v>
      </c>
      <c r="E18" s="8"/>
      <c r="F18" s="8"/>
      <c r="G18">
        <f>COUNTIF(D18:D22,"Sim")</f>
        <v>0</v>
      </c>
      <c r="H18">
        <f>COUNTIF(D18:D22,"Parcialmente")</f>
        <v>0</v>
      </c>
      <c r="I18">
        <f>COUNTIF(D18:D22,"Não")</f>
        <v>0</v>
      </c>
      <c r="J18">
        <f>COUNTIF(D18:D22,"NA")</f>
        <v>5</v>
      </c>
    </row>
    <row r="19" spans="1:10" ht="30">
      <c r="A19" s="32"/>
      <c r="B19" s="5">
        <v>13</v>
      </c>
      <c r="C19" s="8" t="s">
        <v>50</v>
      </c>
      <c r="D19" s="3" t="s">
        <v>116</v>
      </c>
      <c r="E19" s="8"/>
      <c r="F19" s="8"/>
    </row>
    <row r="20" spans="1:10" ht="30">
      <c r="A20" s="32"/>
      <c r="B20" s="5">
        <v>14</v>
      </c>
      <c r="C20" s="8" t="s">
        <v>99</v>
      </c>
      <c r="D20" s="3" t="s">
        <v>116</v>
      </c>
      <c r="E20" s="8"/>
      <c r="F20" s="8"/>
    </row>
    <row r="21" spans="1:10" ht="15">
      <c r="A21" s="32"/>
      <c r="B21" s="5">
        <v>15</v>
      </c>
      <c r="C21" s="8" t="s">
        <v>100</v>
      </c>
      <c r="D21" s="3" t="s">
        <v>116</v>
      </c>
      <c r="E21" s="8"/>
      <c r="F21" s="8"/>
    </row>
    <row r="22" spans="1:10" ht="15">
      <c r="A22" s="32"/>
      <c r="B22" s="5">
        <v>16</v>
      </c>
      <c r="C22" s="8" t="s">
        <v>101</v>
      </c>
      <c r="D22" s="3" t="s">
        <v>116</v>
      </c>
      <c r="E22" s="8"/>
      <c r="F22" s="8"/>
    </row>
    <row r="23" spans="1:10" ht="15">
      <c r="A23" s="35" t="s">
        <v>20</v>
      </c>
      <c r="B23" s="9"/>
      <c r="C23" s="10" t="s">
        <v>8</v>
      </c>
      <c r="D23" s="11"/>
      <c r="E23" s="12"/>
      <c r="F23" s="12"/>
    </row>
    <row r="24" spans="1:10" ht="30">
      <c r="A24" s="32"/>
      <c r="B24" s="23">
        <v>17</v>
      </c>
      <c r="C24" s="24" t="s">
        <v>72</v>
      </c>
      <c r="D24" s="3" t="s">
        <v>116</v>
      </c>
      <c r="E24" s="8"/>
      <c r="F24" s="8"/>
      <c r="G24">
        <f>COUNTIF(D24:D28,"Sim")</f>
        <v>0</v>
      </c>
      <c r="H24">
        <f>COUNTIF(D24:D28,"Parcialmente")</f>
        <v>0</v>
      </c>
      <c r="I24">
        <f>COUNTIF(D24:D28,"Não")</f>
        <v>0</v>
      </c>
      <c r="J24">
        <f>COUNTIF(D24:D28,"NA")</f>
        <v>5</v>
      </c>
    </row>
    <row r="25" spans="1:10" ht="30">
      <c r="A25" s="32"/>
      <c r="B25" s="5">
        <v>18</v>
      </c>
      <c r="C25" s="8" t="s">
        <v>57</v>
      </c>
      <c r="D25" s="3" t="s">
        <v>116</v>
      </c>
      <c r="E25" s="8"/>
      <c r="F25" s="8"/>
    </row>
    <row r="26" spans="1:10" ht="15">
      <c r="A26" s="32"/>
      <c r="B26" s="5">
        <v>19</v>
      </c>
      <c r="C26" s="8" t="s">
        <v>58</v>
      </c>
      <c r="D26" s="3" t="s">
        <v>116</v>
      </c>
      <c r="E26" s="8"/>
      <c r="F26" s="8"/>
    </row>
    <row r="27" spans="1:10" ht="15">
      <c r="A27" s="32"/>
      <c r="B27" s="5">
        <v>21</v>
      </c>
      <c r="C27" s="8" t="s">
        <v>59</v>
      </c>
      <c r="D27" s="3" t="s">
        <v>116</v>
      </c>
      <c r="E27" s="8"/>
      <c r="F27" s="8"/>
    </row>
    <row r="28" spans="1:10" ht="15">
      <c r="A28" s="32"/>
      <c r="B28" s="5">
        <v>22</v>
      </c>
      <c r="C28" s="8" t="s">
        <v>103</v>
      </c>
      <c r="D28" s="3" t="s">
        <v>116</v>
      </c>
      <c r="E28" s="8"/>
      <c r="F28" s="8"/>
    </row>
    <row r="29" spans="1:10" ht="15">
      <c r="A29" s="42" t="s">
        <v>11</v>
      </c>
      <c r="B29" s="9"/>
      <c r="C29" s="10" t="s">
        <v>13</v>
      </c>
      <c r="D29" s="11"/>
      <c r="E29" s="12"/>
      <c r="F29" s="12"/>
    </row>
    <row r="30" spans="1:10" ht="15">
      <c r="A30" s="42"/>
      <c r="B30" s="5">
        <v>24</v>
      </c>
      <c r="C30" s="8" t="s">
        <v>90</v>
      </c>
      <c r="D30" s="3" t="s">
        <v>116</v>
      </c>
      <c r="E30" s="8"/>
      <c r="F30" s="8"/>
      <c r="G30">
        <f>COUNTIF(D30:D34,"Sim")</f>
        <v>0</v>
      </c>
      <c r="H30">
        <f>COUNTIF(D30:D34,"Parcialmente")</f>
        <v>0</v>
      </c>
      <c r="I30">
        <f>COUNTIF(D30:D34,"Não")</f>
        <v>0</v>
      </c>
      <c r="J30">
        <f>COUNTIF(D30:D34,"NA")</f>
        <v>5</v>
      </c>
    </row>
    <row r="31" spans="1:10" ht="30">
      <c r="A31" s="42"/>
      <c r="B31" s="5">
        <v>26</v>
      </c>
      <c r="C31" s="8" t="s">
        <v>104</v>
      </c>
      <c r="D31" s="3" t="s">
        <v>116</v>
      </c>
      <c r="E31" s="8"/>
      <c r="F31" s="8"/>
    </row>
    <row r="32" spans="1:10" ht="15">
      <c r="A32" s="42"/>
      <c r="B32" s="5">
        <v>27</v>
      </c>
      <c r="C32" s="8" t="s">
        <v>53</v>
      </c>
      <c r="D32" s="3" t="s">
        <v>116</v>
      </c>
      <c r="E32" s="8"/>
      <c r="F32" s="8"/>
    </row>
    <row r="33" spans="1:10" ht="15">
      <c r="A33" s="42"/>
      <c r="B33" s="5">
        <v>28</v>
      </c>
      <c r="C33" s="8" t="s">
        <v>54</v>
      </c>
      <c r="D33" s="3" t="s">
        <v>116</v>
      </c>
      <c r="E33" s="8"/>
      <c r="F33" s="8"/>
    </row>
    <row r="34" spans="1:10" ht="15">
      <c r="A34" s="42"/>
      <c r="B34" s="5">
        <v>29</v>
      </c>
      <c r="C34" s="8" t="s">
        <v>55</v>
      </c>
      <c r="D34" s="3" t="s">
        <v>116</v>
      </c>
      <c r="E34" s="8"/>
      <c r="F34" s="8"/>
    </row>
    <row r="35" spans="1:10" ht="15" customHeight="1">
      <c r="A35" s="30" t="s">
        <v>30</v>
      </c>
      <c r="B35" s="9"/>
      <c r="C35" s="10" t="s">
        <v>56</v>
      </c>
      <c r="D35" s="11"/>
      <c r="E35" s="12"/>
      <c r="F35" s="12"/>
    </row>
    <row r="36" spans="1:10" ht="30">
      <c r="A36" s="31"/>
      <c r="B36" s="5">
        <v>30</v>
      </c>
      <c r="C36" s="8" t="s">
        <v>38</v>
      </c>
      <c r="D36" s="3" t="s">
        <v>116</v>
      </c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3</v>
      </c>
    </row>
    <row r="37" spans="1:10" ht="15">
      <c r="A37" s="31"/>
      <c r="B37" s="5">
        <v>31</v>
      </c>
      <c r="C37" s="8" t="s">
        <v>39</v>
      </c>
      <c r="D37" s="3" t="s">
        <v>116</v>
      </c>
      <c r="E37" s="8"/>
      <c r="F37" s="8"/>
    </row>
    <row r="38" spans="1:10" ht="30">
      <c r="A38" s="31"/>
      <c r="B38" s="5">
        <v>32</v>
      </c>
      <c r="C38" s="8" t="s">
        <v>42</v>
      </c>
      <c r="D38" s="3" t="s">
        <v>116</v>
      </c>
      <c r="E38" s="8"/>
      <c r="F38" s="8"/>
    </row>
    <row r="39" spans="1:10" ht="15">
      <c r="A39" s="31"/>
      <c r="B39" s="5"/>
      <c r="C39" s="8" t="s">
        <v>105</v>
      </c>
      <c r="D39" s="3" t="s">
        <v>116</v>
      </c>
      <c r="E39" s="8"/>
      <c r="F39" s="8"/>
    </row>
    <row r="40" spans="1:10" ht="15">
      <c r="A40" s="31"/>
      <c r="B40" s="9"/>
      <c r="C40" s="10" t="s">
        <v>15</v>
      </c>
      <c r="D40" s="11"/>
      <c r="E40" s="12"/>
      <c r="F40" s="12"/>
    </row>
    <row r="41" spans="1:10" ht="15">
      <c r="A41" s="31"/>
      <c r="B41" s="5">
        <v>33</v>
      </c>
      <c r="C41" s="8" t="s">
        <v>106</v>
      </c>
      <c r="D41" s="3" t="s">
        <v>116</v>
      </c>
      <c r="E41" s="8"/>
      <c r="F41" s="8"/>
      <c r="G41">
        <f>COUNTIF(D41:D42,"Sim")</f>
        <v>0</v>
      </c>
      <c r="H41">
        <f>COUNTIF(D41:D42,"Parcialmente")</f>
        <v>0</v>
      </c>
      <c r="I41">
        <f>COUNTIF(D41:D42,"Não")</f>
        <v>0</v>
      </c>
      <c r="J41">
        <f>COUNTIF(D41:D42,"NA")</f>
        <v>2</v>
      </c>
    </row>
    <row r="42" spans="1:10" ht="15">
      <c r="A42" s="31"/>
      <c r="B42" s="5">
        <v>34</v>
      </c>
      <c r="C42" s="8" t="s">
        <v>107</v>
      </c>
      <c r="D42" s="3" t="s">
        <v>116</v>
      </c>
      <c r="E42" s="8"/>
      <c r="F42" s="8"/>
    </row>
    <row r="51" spans="2:3" ht="15">
      <c r="B51"/>
      <c r="C51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</sheetData>
  <mergeCells count="10">
    <mergeCell ref="A15:A16"/>
    <mergeCell ref="A17:A22"/>
    <mergeCell ref="A29:A34"/>
    <mergeCell ref="A35:A42"/>
    <mergeCell ref="A23:A28"/>
    <mergeCell ref="A1:F1"/>
    <mergeCell ref="A2:B2"/>
    <mergeCell ref="A3:B3"/>
    <mergeCell ref="D2:E2"/>
    <mergeCell ref="A5:A14"/>
  </mergeCells>
  <dataValidations count="2">
    <dataValidation type="list" allowBlank="1" showInputMessage="1" showErrorMessage="1" sqref="D23 D15 D17 D40 D35 D29" xr:uid="{00000000-0002-0000-0300-000000000000}">
      <formula1>"Sim,Não,NA"</formula1>
    </dataValidation>
    <dataValidation type="list" allowBlank="1" showInputMessage="1" showErrorMessage="1" sqref="D3:F3 D6 D8 D10:D12 D14 D30:D34 D36:D39 D16 D18:D22 D24:D28 D41:D42" xr:uid="{2F69EF16-DBD3-468C-8391-039EC6576FAB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8"/>
  <sheetViews>
    <sheetView topLeftCell="A15" zoomScale="85" zoomScaleNormal="85" workbookViewId="0">
      <selection activeCell="D42" activeCellId="11" sqref="D6 D8 D10:D12 D14 D16 D18:D21 D23:D24 D26:D27 D29 D31:D35 D37:D40 D42:D43"/>
    </sheetView>
  </sheetViews>
  <sheetFormatPr defaultRowHeight="18.75"/>
  <cols>
    <col min="1" max="1" width="21.140625" customWidth="1"/>
    <col min="2" max="2" width="5.28515625" style="4" customWidth="1"/>
    <col min="3" max="3" width="71.28515625" style="2" bestFit="1" customWidth="1"/>
    <col min="4" max="4" width="12.7109375" bestFit="1" customWidth="1"/>
    <col min="5" max="5" width="29.7109375" customWidth="1"/>
    <col min="6" max="6" width="32.7109375" customWidth="1"/>
    <col min="7" max="10" width="0" hidden="1" customWidth="1"/>
  </cols>
  <sheetData>
    <row r="1" spans="1:10" ht="19.5" customHeight="1">
      <c r="A1" s="33" t="s">
        <v>16</v>
      </c>
      <c r="B1" s="33"/>
      <c r="C1" s="33"/>
      <c r="D1" s="33"/>
      <c r="E1" s="33"/>
      <c r="F1" s="33"/>
    </row>
    <row r="2" spans="1:10" ht="18.75" customHeight="1" thickBot="1">
      <c r="A2" s="34" t="s">
        <v>25</v>
      </c>
      <c r="B2" s="34"/>
      <c r="C2" s="16"/>
      <c r="D2" s="40" t="s">
        <v>44</v>
      </c>
      <c r="E2" s="41"/>
      <c r="F2" s="21" t="e">
        <f>COUNTIF(D5:D43,"Sim")/(COUNTA(D5:D43)-COUNTIF(D5:D43,"NA"))</f>
        <v>#DIV/0!</v>
      </c>
    </row>
    <row r="3" spans="1:10" ht="15.75" thickBot="1">
      <c r="A3" s="34" t="s">
        <v>26</v>
      </c>
      <c r="B3" s="34"/>
      <c r="C3" s="13"/>
      <c r="D3" s="43" t="s">
        <v>43</v>
      </c>
      <c r="E3" s="44"/>
      <c r="F3" s="45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5" t="s">
        <v>17</v>
      </c>
      <c r="B5" s="9"/>
      <c r="C5" s="10" t="s">
        <v>2</v>
      </c>
      <c r="D5" s="12"/>
      <c r="E5" s="12"/>
      <c r="F5" s="12"/>
    </row>
    <row r="6" spans="1:10" ht="15">
      <c r="A6" s="32"/>
      <c r="B6" s="5">
        <v>1</v>
      </c>
      <c r="C6" s="8" t="s">
        <v>108</v>
      </c>
      <c r="D6" s="3" t="s">
        <v>116</v>
      </c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1</v>
      </c>
    </row>
    <row r="7" spans="1:10" ht="15">
      <c r="A7" s="32"/>
      <c r="B7" s="9"/>
      <c r="C7" s="10" t="s">
        <v>3</v>
      </c>
      <c r="D7" s="12"/>
      <c r="E7" s="12"/>
      <c r="F7" s="12"/>
    </row>
    <row r="8" spans="1:10" s="1" customFormat="1" ht="30">
      <c r="A8" s="32"/>
      <c r="B8" s="5">
        <v>2</v>
      </c>
      <c r="C8" s="8" t="s">
        <v>109</v>
      </c>
      <c r="D8" s="3" t="s">
        <v>116</v>
      </c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1</v>
      </c>
    </row>
    <row r="9" spans="1:10" ht="15">
      <c r="A9" s="32"/>
      <c r="B9" s="9"/>
      <c r="C9" s="10" t="s">
        <v>14</v>
      </c>
      <c r="D9" s="12"/>
      <c r="E9" s="12"/>
      <c r="F9" s="12"/>
    </row>
    <row r="10" spans="1:10" ht="30">
      <c r="A10" s="32"/>
      <c r="B10" s="5">
        <v>3</v>
      </c>
      <c r="C10" s="8" t="s">
        <v>110</v>
      </c>
      <c r="D10" s="3" t="s">
        <v>116</v>
      </c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3</v>
      </c>
    </row>
    <row r="11" spans="1:10" ht="30">
      <c r="A11" s="32"/>
      <c r="B11" s="5">
        <v>4</v>
      </c>
      <c r="C11" s="8" t="s">
        <v>111</v>
      </c>
      <c r="D11" s="3" t="s">
        <v>116</v>
      </c>
      <c r="E11" s="8"/>
      <c r="F11" s="8"/>
    </row>
    <row r="12" spans="1:10" ht="29.25" customHeight="1">
      <c r="A12" s="32"/>
      <c r="B12" s="5">
        <v>5</v>
      </c>
      <c r="C12" s="8" t="s">
        <v>45</v>
      </c>
      <c r="D12" s="3" t="s">
        <v>116</v>
      </c>
      <c r="E12" s="8"/>
      <c r="F12" s="8"/>
    </row>
    <row r="13" spans="1:10" ht="15">
      <c r="A13" s="32"/>
      <c r="B13" s="9"/>
      <c r="C13" s="10" t="s">
        <v>4</v>
      </c>
      <c r="D13" s="12"/>
      <c r="E13" s="12"/>
      <c r="F13" s="12"/>
    </row>
    <row r="14" spans="1:10" ht="15">
      <c r="A14" s="32"/>
      <c r="B14" s="5">
        <v>6</v>
      </c>
      <c r="C14" s="8" t="s">
        <v>46</v>
      </c>
      <c r="D14" s="3" t="s">
        <v>116</v>
      </c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1</v>
      </c>
    </row>
    <row r="15" spans="1:10" ht="15" customHeight="1">
      <c r="A15" s="35" t="s">
        <v>18</v>
      </c>
      <c r="B15" s="9"/>
      <c r="C15" s="10" t="s">
        <v>5</v>
      </c>
      <c r="D15" s="11"/>
      <c r="E15" s="12"/>
      <c r="F15" s="12"/>
    </row>
    <row r="16" spans="1:10" ht="15">
      <c r="A16" s="32"/>
      <c r="B16" s="5">
        <v>8</v>
      </c>
      <c r="C16" s="8" t="s">
        <v>60</v>
      </c>
      <c r="D16" s="3" t="s">
        <v>116</v>
      </c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1</v>
      </c>
    </row>
    <row r="17" spans="1:10" ht="15" customHeight="1">
      <c r="A17" s="35" t="s">
        <v>19</v>
      </c>
      <c r="B17" s="9"/>
      <c r="C17" s="10" t="s">
        <v>6</v>
      </c>
      <c r="D17" s="11"/>
      <c r="E17" s="12"/>
      <c r="F17" s="12"/>
    </row>
    <row r="18" spans="1:10" ht="30">
      <c r="A18" s="32"/>
      <c r="B18" s="5">
        <v>9</v>
      </c>
      <c r="C18" s="8" t="s">
        <v>63</v>
      </c>
      <c r="D18" s="3" t="s">
        <v>116</v>
      </c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4</v>
      </c>
    </row>
    <row r="19" spans="1:10" ht="15">
      <c r="A19" s="32"/>
      <c r="B19" s="5">
        <v>10</v>
      </c>
      <c r="C19" s="8" t="s">
        <v>64</v>
      </c>
      <c r="D19" s="3" t="s">
        <v>116</v>
      </c>
      <c r="E19" s="8"/>
      <c r="F19" s="8"/>
    </row>
    <row r="20" spans="1:10" ht="30">
      <c r="A20" s="32"/>
      <c r="B20" s="5">
        <v>11</v>
      </c>
      <c r="C20" s="8" t="s">
        <v>99</v>
      </c>
      <c r="D20" s="3" t="s">
        <v>116</v>
      </c>
      <c r="E20" s="8"/>
      <c r="F20" s="8"/>
    </row>
    <row r="21" spans="1:10" ht="15">
      <c r="A21" s="36"/>
      <c r="B21" s="5">
        <v>13</v>
      </c>
      <c r="C21" s="8" t="s">
        <v>49</v>
      </c>
      <c r="D21" s="3" t="s">
        <v>116</v>
      </c>
      <c r="E21" s="8"/>
      <c r="F21" s="8"/>
    </row>
    <row r="22" spans="1:10" ht="15">
      <c r="A22" s="35" t="s">
        <v>20</v>
      </c>
      <c r="B22" s="9"/>
      <c r="C22" s="10" t="s">
        <v>8</v>
      </c>
      <c r="D22" s="11"/>
      <c r="E22" s="12"/>
      <c r="F22" s="12"/>
    </row>
    <row r="23" spans="1:10" ht="15">
      <c r="A23" s="32"/>
      <c r="B23" s="5">
        <v>14</v>
      </c>
      <c r="C23" s="8" t="s">
        <v>112</v>
      </c>
      <c r="D23" s="3" t="s">
        <v>116</v>
      </c>
      <c r="E23" s="8"/>
      <c r="F23" s="8"/>
      <c r="G23">
        <f>COUNTIF(D23:D24,"Sim")</f>
        <v>0</v>
      </c>
      <c r="H23">
        <f>COUNTIF(D23:D24,"Parcialmente")</f>
        <v>0</v>
      </c>
      <c r="I23">
        <f>COUNTIF(D23:D24,"Não")</f>
        <v>0</v>
      </c>
      <c r="J23">
        <f>COUNTIF(D23:D24,"NA")</f>
        <v>2</v>
      </c>
    </row>
    <row r="24" spans="1:10" ht="15">
      <c r="A24" s="32"/>
      <c r="B24" s="5">
        <v>15</v>
      </c>
      <c r="C24" s="8" t="s">
        <v>103</v>
      </c>
      <c r="D24" s="3" t="s">
        <v>116</v>
      </c>
      <c r="E24" s="8"/>
      <c r="F24" s="8"/>
    </row>
    <row r="25" spans="1:10" s="1" customFormat="1" ht="15" customHeight="1">
      <c r="A25" s="35" t="s">
        <v>21</v>
      </c>
      <c r="B25" s="9"/>
      <c r="C25" s="10" t="s">
        <v>9</v>
      </c>
      <c r="D25" s="11"/>
      <c r="E25" s="12"/>
      <c r="F25" s="12"/>
    </row>
    <row r="26" spans="1:10" s="1" customFormat="1" ht="30">
      <c r="A26" s="32"/>
      <c r="B26" s="23">
        <v>24</v>
      </c>
      <c r="C26" s="24" t="s">
        <v>72</v>
      </c>
      <c r="D26" s="3" t="s">
        <v>116</v>
      </c>
      <c r="E26" s="8"/>
      <c r="F26" s="8"/>
      <c r="G26">
        <f>COUNTIF(D26:D27,"Sim")</f>
        <v>0</v>
      </c>
      <c r="H26">
        <f>COUNTIF(D26:D27,"Parcialmente")</f>
        <v>0</v>
      </c>
      <c r="I26">
        <f>COUNTIF(D26:D27,"Não")</f>
        <v>0</v>
      </c>
      <c r="J26">
        <f>COUNTIF(D26:D27,"NA")</f>
        <v>2</v>
      </c>
    </row>
    <row r="27" spans="1:10" s="1" customFormat="1" ht="45">
      <c r="A27" s="32"/>
      <c r="B27" s="5">
        <v>25</v>
      </c>
      <c r="C27" s="8" t="s">
        <v>62</v>
      </c>
      <c r="D27" s="3" t="s">
        <v>116</v>
      </c>
      <c r="E27" s="8"/>
      <c r="F27" s="8"/>
    </row>
    <row r="28" spans="1:10" ht="15">
      <c r="A28" s="32"/>
      <c r="B28" s="9"/>
      <c r="C28" s="10" t="s">
        <v>10</v>
      </c>
      <c r="D28" s="11"/>
      <c r="E28" s="12"/>
      <c r="F28" s="12"/>
    </row>
    <row r="29" spans="1:10" ht="30">
      <c r="A29" s="32"/>
      <c r="B29" s="23">
        <v>26</v>
      </c>
      <c r="C29" s="24" t="s">
        <v>72</v>
      </c>
      <c r="D29" s="3" t="s">
        <v>116</v>
      </c>
      <c r="E29" s="8"/>
      <c r="F29" s="8"/>
      <c r="G29">
        <f>COUNTIF(D29:D29,"Sim")</f>
        <v>0</v>
      </c>
      <c r="H29">
        <f>COUNTIF(D29:D29,"Parcialmente")</f>
        <v>0</v>
      </c>
      <c r="I29">
        <f>COUNTIF(D29:D29,"Não")</f>
        <v>0</v>
      </c>
      <c r="J29">
        <f>COUNTIF(D29:D29,"NA")</f>
        <v>1</v>
      </c>
    </row>
    <row r="30" spans="1:10" ht="15">
      <c r="A30" s="42" t="s">
        <v>11</v>
      </c>
      <c r="B30" s="9"/>
      <c r="C30" s="10" t="s">
        <v>13</v>
      </c>
      <c r="D30" s="11"/>
      <c r="E30" s="12"/>
      <c r="F30" s="12"/>
    </row>
    <row r="31" spans="1:10" ht="15">
      <c r="A31" s="42"/>
      <c r="B31" s="5">
        <v>19</v>
      </c>
      <c r="C31" s="8" t="s">
        <v>90</v>
      </c>
      <c r="D31" s="3" t="s">
        <v>116</v>
      </c>
      <c r="E31" s="8"/>
      <c r="F31" s="8"/>
      <c r="G31">
        <f>COUNTIF(D31:D35,"Sim")</f>
        <v>0</v>
      </c>
      <c r="H31">
        <f>COUNTIF(D31:D35,"Parcialmente")</f>
        <v>0</v>
      </c>
      <c r="I31">
        <f>COUNTIF(D31:D35,"Não")</f>
        <v>0</v>
      </c>
      <c r="J31">
        <f>COUNTIF(D31:D35,"NA")</f>
        <v>5</v>
      </c>
    </row>
    <row r="32" spans="1:10" ht="30">
      <c r="A32" s="42"/>
      <c r="B32" s="5">
        <v>20</v>
      </c>
      <c r="C32" s="8" t="s">
        <v>104</v>
      </c>
      <c r="D32" s="3" t="s">
        <v>116</v>
      </c>
      <c r="E32" s="8"/>
      <c r="F32" s="8"/>
    </row>
    <row r="33" spans="1:10" ht="15">
      <c r="A33" s="42"/>
      <c r="B33" s="5">
        <v>21</v>
      </c>
      <c r="C33" s="8" t="s">
        <v>53</v>
      </c>
      <c r="D33" s="3" t="s">
        <v>116</v>
      </c>
      <c r="E33" s="8"/>
      <c r="F33" s="8"/>
    </row>
    <row r="34" spans="1:10" ht="15">
      <c r="A34" s="42"/>
      <c r="B34" s="5">
        <v>24</v>
      </c>
      <c r="C34" s="8" t="s">
        <v>113</v>
      </c>
      <c r="D34" s="3" t="s">
        <v>116</v>
      </c>
      <c r="E34" s="8"/>
      <c r="F34" s="8"/>
    </row>
    <row r="35" spans="1:10" ht="15">
      <c r="A35" s="42"/>
      <c r="B35" s="5">
        <v>25</v>
      </c>
      <c r="C35" s="8" t="s">
        <v>55</v>
      </c>
      <c r="D35" s="3" t="s">
        <v>116</v>
      </c>
      <c r="E35" s="8"/>
      <c r="F35" s="8"/>
    </row>
    <row r="36" spans="1:10" ht="15" customHeight="1">
      <c r="A36" s="30" t="s">
        <v>30</v>
      </c>
      <c r="B36" s="9"/>
      <c r="C36" s="10" t="s">
        <v>56</v>
      </c>
      <c r="D36" s="11"/>
      <c r="E36" s="12"/>
      <c r="F36" s="12"/>
    </row>
    <row r="37" spans="1:10" ht="30">
      <c r="A37" s="31"/>
      <c r="B37" s="5">
        <v>26</v>
      </c>
      <c r="C37" s="8" t="s">
        <v>38</v>
      </c>
      <c r="D37" s="3" t="s">
        <v>116</v>
      </c>
      <c r="E37" s="8"/>
      <c r="F37" s="8"/>
      <c r="G37">
        <f>COUNTIF(D37:D39,"Sim")</f>
        <v>0</v>
      </c>
      <c r="H37">
        <f>COUNTIF(D37:D39,"Parcialmente")</f>
        <v>0</v>
      </c>
      <c r="I37">
        <f>COUNTIF(D37:D39,"Não")</f>
        <v>0</v>
      </c>
      <c r="J37">
        <f>COUNTIF(D37:D39,"NA")</f>
        <v>3</v>
      </c>
    </row>
    <row r="38" spans="1:10" ht="15">
      <c r="A38" s="31"/>
      <c r="B38" s="5">
        <v>27</v>
      </c>
      <c r="C38" s="8" t="s">
        <v>39</v>
      </c>
      <c r="D38" s="3" t="s">
        <v>116</v>
      </c>
      <c r="E38" s="8"/>
      <c r="F38" s="8"/>
    </row>
    <row r="39" spans="1:10" ht="30">
      <c r="A39" s="31"/>
      <c r="B39" s="5">
        <v>28</v>
      </c>
      <c r="C39" s="8" t="s">
        <v>42</v>
      </c>
      <c r="D39" s="3" t="s">
        <v>116</v>
      </c>
      <c r="E39" s="8"/>
      <c r="F39" s="8"/>
    </row>
    <row r="40" spans="1:10" ht="15">
      <c r="A40" s="31"/>
      <c r="B40" s="5"/>
      <c r="C40" s="8" t="s">
        <v>105</v>
      </c>
      <c r="D40" s="3" t="s">
        <v>116</v>
      </c>
      <c r="E40" s="8"/>
      <c r="F40" s="8"/>
    </row>
    <row r="41" spans="1:10" ht="15">
      <c r="A41" s="31"/>
      <c r="B41" s="9"/>
      <c r="C41" s="10" t="s">
        <v>15</v>
      </c>
      <c r="D41" s="11"/>
      <c r="E41" s="12"/>
      <c r="F41" s="12"/>
    </row>
    <row r="42" spans="1:10" ht="15">
      <c r="A42" s="31"/>
      <c r="B42" s="5">
        <v>29</v>
      </c>
      <c r="C42" s="8" t="s">
        <v>106</v>
      </c>
      <c r="D42" s="3" t="s">
        <v>116</v>
      </c>
      <c r="E42" s="8"/>
      <c r="F42" s="8"/>
      <c r="G42">
        <f>COUNTIF(D42:D43,"Sim")</f>
        <v>0</v>
      </c>
      <c r="H42">
        <f>COUNTIF(D42:D43,"Parcialmente")</f>
        <v>0</v>
      </c>
      <c r="I42">
        <f>COUNTIF(D42:D43,"Não")</f>
        <v>0</v>
      </c>
      <c r="J42">
        <f>COUNTIF(D42:D43,"NA")</f>
        <v>2</v>
      </c>
    </row>
    <row r="43" spans="1:10" ht="15">
      <c r="A43" s="31"/>
      <c r="B43" s="5">
        <v>30</v>
      </c>
      <c r="C43" s="8" t="s">
        <v>107</v>
      </c>
      <c r="D43" s="3" t="s">
        <v>116</v>
      </c>
      <c r="E43" s="8"/>
      <c r="F43" s="8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  <row r="58" spans="2:3" ht="15">
      <c r="B58"/>
      <c r="C58"/>
    </row>
  </sheetData>
  <mergeCells count="12">
    <mergeCell ref="A22:A24"/>
    <mergeCell ref="A30:A35"/>
    <mergeCell ref="A36:A43"/>
    <mergeCell ref="A17:A21"/>
    <mergeCell ref="A25:A29"/>
    <mergeCell ref="A5:A14"/>
    <mergeCell ref="A15:A16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5 D17 D15 D22 D41 D36 D30 D28" xr:uid="{00000000-0002-0000-0400-000000000000}">
      <formula1>"Sim,Não,NA"</formula1>
    </dataValidation>
    <dataValidation type="list" allowBlank="1" showInputMessage="1" showErrorMessage="1" sqref="D31:D35 D6 D8 D10:D12 D14 D18:D21 D23:D24 D26:D27 D29 D37:D40 D16 D42:D43" xr:uid="{A5BD53E1-86A3-4B0D-8790-16FF9D054B9C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2026-04-08T23:59:23Z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