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5"/>
    <sheet state="hidden" name="AUX" sheetId="2" r:id="rId6"/>
    <sheet state="visible" name="Manter Diagnóstico" sheetId="3" r:id="rId7"/>
    <sheet state="visible" name="Consultar Histórico de Diagnóst" sheetId="4" r:id="rId8"/>
    <sheet state="visible" name="Processar Diagnóstico" sheetId="5" r:id="rId9"/>
    <sheet state="visible" name="Manter Registro" sheetId="6" r:id="rId10"/>
    <sheet state="visible" name="Manter Base de Espécies" sheetId="7" r:id="rId11"/>
    <sheet state="visible" name="Acompanhar Métricas do Sistema" sheetId="8" r:id="rId12"/>
  </sheets>
  <definedNames>
    <definedName name="combo_SimNao">AUX!$A$2:$A$3</definedName>
  </definedNames>
  <calcPr/>
</workbook>
</file>

<file path=xl/sharedStrings.xml><?xml version="1.0" encoding="utf-8"?>
<sst xmlns="http://schemas.openxmlformats.org/spreadsheetml/2006/main" count="170" uniqueCount="100">
  <si>
    <t>WormIF - WRIF</t>
  </si>
  <si>
    <t>Qde de Defeitos</t>
  </si>
  <si>
    <t>Caso de Uso</t>
  </si>
  <si>
    <t>Total de Cenários</t>
  </si>
  <si>
    <t>Ciclo 1</t>
  </si>
  <si>
    <t>Ciclo 2</t>
  </si>
  <si>
    <t>Ciclo 3</t>
  </si>
  <si>
    <t>Manter Diagnóstico</t>
  </si>
  <si>
    <t>Consultar Histórico de Diagnósticos</t>
  </si>
  <si>
    <t>Processar Diagnóstico</t>
  </si>
  <si>
    <t>Manter Registro</t>
  </si>
  <si>
    <t>Manter Base de Espécies</t>
  </si>
  <si>
    <t>Acompanhar Métricas do Sistema</t>
  </si>
  <si>
    <t>Totais</t>
  </si>
  <si>
    <t>combo_SimNao</t>
  </si>
  <si>
    <t>Sim</t>
  </si>
  <si>
    <t>Não</t>
  </si>
  <si>
    <t>Script de Teste:</t>
  </si>
  <si>
    <t>1. Login no sistema; 2. Navegar até Diagnóstico; 3. Carregar imagem; 4. Executar análise; 5. Salvar.</t>
  </si>
  <si>
    <t>Massa de Teste:</t>
  </si>
  <si>
    <t>Arquivos de imagem em diferentes formatos (.jpg, .png).</t>
  </si>
  <si>
    <t>Pré-Condições:</t>
  </si>
  <si>
    <t>O usuário deve estar logado no Sistema e possuir perfil de acesso à funcionalidade .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</si>
  <si>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</si>
  <si>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</si>
  <si>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</si>
  <si>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</si>
  <si>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</si>
  <si>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</si>
  <si>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</si>
  <si>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Acessar funcionalidade</t>
  </si>
  <si>
    <t>Clique em 'Novo Diagnóstico'</t>
  </si>
  <si>
    <t>Tela exibida</t>
  </si>
  <si>
    <t>Enviar imagem</t>
  </si>
  <si>
    <t>Seleção de Imagem</t>
  </si>
  <si>
    <t>Imagem aceita</t>
  </si>
  <si>
    <t>Confirmar envio</t>
  </si>
  <si>
    <t>Clique no botão 'Analisar'</t>
  </si>
  <si>
    <t>Enviado para IA</t>
  </si>
  <si>
    <t>Processamento</t>
  </si>
  <si>
    <t>N/A</t>
  </si>
  <si>
    <t>Identificação realizada</t>
  </si>
  <si>
    <t>Exibição</t>
  </si>
  <si>
    <t>Resultado mostrado</t>
  </si>
  <si>
    <t>Salvar</t>
  </si>
  <si>
    <t>Clique em 'Salvar Diagnóstico'</t>
  </si>
  <si>
    <t>Diagnóstico armazenado</t>
  </si>
  <si>
    <t>1. Acessar menu histórico; 2. Visualizar lista; 3. Abrir um registro; 4. Testar filtros de busca.</t>
  </si>
  <si>
    <t>Registros de diagnósticos salvos anteriormente no banco de dados.</t>
  </si>
  <si>
    <t>Acessar histórico</t>
  </si>
  <si>
    <t>Clique em 'Histórico'</t>
  </si>
  <si>
    <t>Lista exibida</t>
  </si>
  <si>
    <t>Selecionar diagnóstico</t>
  </si>
  <si>
    <t>Clique no relatório anterior</t>
  </si>
  <si>
    <t>Detalhes exibidos</t>
  </si>
  <si>
    <t>Filtrar</t>
  </si>
  <si>
    <t>Selecionar Data ou Nome</t>
  </si>
  <si>
    <t>Resultados corretos</t>
  </si>
  <si>
    <t>1. Enviar imagem via endpoint; 2. Validar tempo de resposta; 3. Validar acurácia do rótulo retornado.</t>
  </si>
  <si>
    <t>Dataset de validação com imagens rotuladas.</t>
  </si>
  <si>
    <t>Receber imagem</t>
  </si>
  <si>
    <t>Arquivo de imagem via API</t>
  </si>
  <si>
    <t>Recebimento correto</t>
  </si>
  <si>
    <t>Processar</t>
  </si>
  <si>
    <t>Insumo para o modelo CNN</t>
  </si>
  <si>
    <t>Identificação feita</t>
  </si>
  <si>
    <t>Retornar</t>
  </si>
  <si>
    <t>Output do modelo</t>
  </si>
  <si>
    <t>Resposta enviada</t>
  </si>
  <si>
    <t>1. Ir para cadastros; 2. Preencher campos; 3. Salvar; 4. Verificar se aparece na lista.</t>
  </si>
  <si>
    <t>Dados alfanuméricos para campos de nome e descrição.</t>
  </si>
  <si>
    <t>Acessar formulário</t>
  </si>
  <si>
    <t>Botão 'Novo Registro'</t>
  </si>
  <si>
    <t>Inserir dados</t>
  </si>
  <si>
    <t>Informar Nome, Tipo, Estágio e Descrição</t>
  </si>
  <si>
    <t>Dados válidos</t>
  </si>
  <si>
    <t>Botão 'Salvar'</t>
  </si>
  <si>
    <t>Registro criado</t>
  </si>
  <si>
    <t>1. Consultar espécie; 2. Editar campos; 3. Salvar; 4. Excluir registro de teste.</t>
  </si>
  <si>
    <t>Lista de nomes científicos e descrições biológicas.</t>
  </si>
  <si>
    <t>Acessar base</t>
  </si>
  <si>
    <t>Menu 'Espécies'</t>
  </si>
  <si>
    <t>Editar</t>
  </si>
  <si>
    <t>Alteração de Descrição</t>
  </si>
  <si>
    <t>Dados atualizados</t>
  </si>
  <si>
    <t>Excluir</t>
  </si>
  <si>
    <t>Botão 'Excluir' + Confirmar</t>
  </si>
  <si>
    <t>Remoção feita</t>
  </si>
  <si>
    <t>1. Abrir dashboard; 2. Validar se os números de diagnósticos batem com o banco; 3. Testar atualização em tempo real.</t>
  </si>
  <si>
    <t>Dados históricos de utilização do sistema.</t>
  </si>
  <si>
    <t xml:space="preserve">O usuário deve estar logado no Sistema e possuir perfil de acesso à funcionalidade .	</t>
  </si>
  <si>
    <t>Acessar dashboard</t>
  </si>
  <si>
    <t>Menu 'Dashboard'</t>
  </si>
  <si>
    <t>Métricas exibidas</t>
  </si>
  <si>
    <t>Ver uso IA</t>
  </si>
  <si>
    <t>Gráfico de acessos</t>
  </si>
  <si>
    <t>Dados exibidos</t>
  </si>
  <si>
    <t>Ver taxa acerto</t>
  </si>
  <si>
    <t>Indicador de precisão</t>
  </si>
  <si>
    <t>Indicadores corretos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</si>
</sst>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rgb="FF000000"/>
      <name val="Calibri"/>
      <scheme val="minor"/>
    </font>
    <font>
      <sz val="11.0"/>
      <color rgb="FF000000"/>
      <name val="Arial"/>
    </font>
    <font>
      <b/>
      <sz val="14.0"/>
      <color rgb="FFFFFFFF"/>
      <name val="Arial"/>
    </font>
    <font/>
    <font>
      <b/>
      <sz val="10.0"/>
      <color theme="0"/>
      <name val="Arial"/>
    </font>
    <font>
      <sz val="10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b/>
      <sz val="14.0"/>
      <color theme="0"/>
      <name val="Arial"/>
    </font>
    <font>
      <b/>
      <sz val="14.0"/>
      <color rgb="FF000000"/>
      <name val="Arial"/>
    </font>
    <font>
      <b/>
      <sz val="11.0"/>
      <color theme="1"/>
      <name val="Arial"/>
    </font>
    <font>
      <b/>
      <sz val="11.0"/>
      <color theme="0"/>
      <name val="Arial"/>
    </font>
    <font>
      <sz val="11.0"/>
      <color theme="1"/>
      <name val="Arial"/>
    </font>
    <font>
      <i/>
      <sz val="11.0"/>
      <color rgb="FF000000"/>
      <name val="Arial"/>
    </font>
    <font>
      <color rgb="FF000000"/>
      <name val="Arial"/>
    </font>
    <font>
      <sz val="11.0"/>
      <color rgb="FFFF0000"/>
      <name val="Arial"/>
    </font>
    <font>
      <sz val="11.0"/>
      <color rgb="FF33CCCC"/>
      <name val="Arial"/>
    </font>
    <font>
      <sz val="11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hair">
        <color rgb="FF000000"/>
      </left>
      <top style="hair">
        <color rgb="FF000000"/>
      </top>
      <bottom/>
    </border>
    <border>
      <top style="hair">
        <color rgb="FF000000"/>
      </top>
      <bottom/>
    </border>
    <border>
      <right style="hair">
        <color rgb="FF000000"/>
      </right>
      <top style="hair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1" fillId="0" fontId="1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1" numFmtId="0" xfId="0" applyBorder="1" applyFont="1"/>
    <xf borderId="6" fillId="0" fontId="1" numFmtId="0" xfId="0" applyBorder="1" applyFont="1"/>
    <xf borderId="7" fillId="2" fontId="4" numFmtId="0" xfId="0" applyAlignment="1" applyBorder="1" applyFont="1">
      <alignment horizontal="center"/>
    </xf>
    <xf borderId="7" fillId="0" fontId="5" numFmtId="0" xfId="0" applyAlignment="1" applyBorder="1" applyFont="1">
      <alignment readingOrder="0"/>
    </xf>
    <xf borderId="7" fillId="0" fontId="5" numFmtId="0" xfId="0" applyAlignment="1" applyBorder="1" applyFont="1">
      <alignment horizontal="center" readingOrder="0"/>
    </xf>
    <xf borderId="7" fillId="0" fontId="1" numFmtId="0" xfId="0" applyAlignment="1" applyBorder="1" applyFont="1">
      <alignment horizontal="center"/>
    </xf>
    <xf borderId="7" fillId="0" fontId="5" numFmtId="0" xfId="0" applyBorder="1" applyFont="1"/>
    <xf borderId="7" fillId="0" fontId="5" numFmtId="0" xfId="0" applyAlignment="1" applyBorder="1" applyFont="1">
      <alignment horizontal="center"/>
    </xf>
    <xf borderId="7" fillId="2" fontId="4" numFmtId="0" xfId="0" applyBorder="1" applyFont="1"/>
    <xf borderId="8" fillId="2" fontId="4" numFmtId="0" xfId="0" applyBorder="1" applyFont="1"/>
    <xf borderId="9" fillId="2" fontId="4" numFmtId="0" xfId="0" applyBorder="1" applyFont="1"/>
    <xf borderId="0" fillId="0" fontId="6" numFmtId="0" xfId="0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0" fillId="0" fontId="7" numFmtId="0" xfId="0" applyFont="1"/>
    <xf borderId="13" fillId="2" fontId="8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15" fillId="0" fontId="3" numFmtId="0" xfId="0" applyBorder="1" applyFont="1"/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wrapText="1"/>
    </xf>
    <xf borderId="16" fillId="3" fontId="9" numFmtId="0" xfId="0" applyAlignment="1" applyBorder="1" applyFill="1" applyFont="1">
      <alignment horizontal="center" shrinkToFit="0" vertical="center" wrapText="1"/>
    </xf>
    <xf borderId="17" fillId="0" fontId="3" numFmtId="0" xfId="0" applyBorder="1" applyFont="1"/>
    <xf borderId="18" fillId="0" fontId="3" numFmtId="0" xfId="0" applyBorder="1" applyFont="1"/>
    <xf borderId="16" fillId="3" fontId="10" numFmtId="0" xfId="0" applyAlignment="1" applyBorder="1" applyFont="1">
      <alignment horizontal="center" readingOrder="0" shrinkToFit="0" vertical="center" wrapText="1"/>
    </xf>
    <xf borderId="16" fillId="2" fontId="11" numFmtId="0" xfId="0" applyAlignment="1" applyBorder="1" applyFont="1">
      <alignment horizontal="left" shrinkToFit="0" vertical="center" wrapText="1"/>
    </xf>
    <xf borderId="16" fillId="4" fontId="12" numFmtId="0" xfId="0" applyAlignment="1" applyBorder="1" applyFill="1" applyFont="1">
      <alignment horizontal="left" readingOrder="0" shrinkToFit="0" vertical="center" wrapText="1"/>
    </xf>
    <xf borderId="16" fillId="2" fontId="11" numFmtId="0" xfId="0" applyAlignment="1" applyBorder="1" applyFont="1">
      <alignment horizontal="left" vertical="center"/>
    </xf>
    <xf borderId="16" fillId="4" fontId="13" numFmtId="0" xfId="0" applyAlignment="1" applyBorder="1" applyFont="1">
      <alignment vertical="center"/>
    </xf>
    <xf borderId="7" fillId="2" fontId="11" numFmtId="0" xfId="0" applyAlignment="1" applyBorder="1" applyFont="1">
      <alignment horizontal="center" shrinkToFit="0" vertical="center" wrapText="1"/>
    </xf>
    <xf borderId="19" fillId="2" fontId="1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 shrinkToFit="0" vertical="center" wrapText="1"/>
    </xf>
    <xf borderId="7" fillId="0" fontId="14" numFmtId="0" xfId="0" applyAlignment="1" applyBorder="1" applyFont="1">
      <alignment horizontal="left"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7" fillId="4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shrinkToFit="0" wrapText="1"/>
    </xf>
    <xf borderId="16" fillId="0" fontId="1" numFmtId="0" xfId="0" applyAlignment="1" applyBorder="1" applyFont="1">
      <alignment horizontal="center" shrinkToFit="0" vertical="center" wrapText="1"/>
    </xf>
    <xf borderId="7" fillId="4" fontId="17" numFmtId="0" xfId="0" applyAlignment="1" applyBorder="1" applyFont="1">
      <alignment horizontal="center" vertical="center"/>
    </xf>
    <xf borderId="7" fillId="0" fontId="1" numFmtId="0" xfId="0" applyAlignment="1" applyBorder="1" applyFont="1">
      <alignment shrinkToFit="0" vertical="center" wrapText="1"/>
    </xf>
    <xf borderId="21" fillId="0" fontId="1" numFmtId="0" xfId="0" applyAlignment="1" applyBorder="1" applyFont="1">
      <alignment shrinkToFit="0" vertical="center" wrapText="1"/>
    </xf>
    <xf borderId="16" fillId="4" fontId="13" numFmtId="0" xfId="0" applyAlignment="1" applyBorder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4.29"/>
    <col customWidth="1" min="3" max="3" width="31.29"/>
    <col customWidth="1" min="4" max="4" width="17.29"/>
    <col customWidth="1" min="5" max="5" width="10.57"/>
    <col customWidth="1" min="6" max="6" width="11.29"/>
    <col customWidth="1" min="7" max="7" width="10.29"/>
    <col customWidth="1" min="8" max="8" width="9.0"/>
    <col customWidth="1" min="9" max="9" width="9.43"/>
    <col customWidth="1" min="10" max="26" width="9.0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6.0</v>
      </c>
      <c r="E5" s="1"/>
      <c r="F5" s="12"/>
      <c r="G5" s="12"/>
      <c r="H5" s="12"/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0" t="s">
        <v>8</v>
      </c>
      <c r="D6" s="11">
        <v>3.0</v>
      </c>
      <c r="E6" s="1"/>
      <c r="F6" s="12"/>
      <c r="G6" s="12"/>
      <c r="H6" s="12"/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0" t="s">
        <v>9</v>
      </c>
      <c r="D7" s="11">
        <v>3.0</v>
      </c>
      <c r="E7" s="1"/>
      <c r="F7" s="12"/>
      <c r="G7" s="12"/>
      <c r="H7" s="12"/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0" t="s">
        <v>10</v>
      </c>
      <c r="D8" s="11">
        <v>3.0</v>
      </c>
      <c r="E8" s="1"/>
      <c r="F8" s="12"/>
      <c r="G8" s="12"/>
      <c r="H8" s="12"/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0" t="s">
        <v>11</v>
      </c>
      <c r="D9" s="11">
        <v>3.0</v>
      </c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0" t="s">
        <v>12</v>
      </c>
      <c r="D10" s="11">
        <v>3.0</v>
      </c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3"/>
      <c r="D11" s="14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3"/>
      <c r="D12" s="14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3"/>
      <c r="D13" s="14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3"/>
      <c r="D14" s="14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3"/>
      <c r="D15" s="14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3"/>
      <c r="D16" s="14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3"/>
      <c r="D17" s="14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3"/>
      <c r="D18" s="14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3"/>
      <c r="D19" s="14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5" t="s">
        <v>13</v>
      </c>
      <c r="D20" s="15"/>
      <c r="E20" s="1"/>
      <c r="F20" s="16"/>
      <c r="G20" s="16"/>
      <c r="H20" s="17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4">
        <f>COUNTA(C5:C19)</f>
        <v>6</v>
      </c>
      <c r="D21" s="14">
        <f>SUM(D5:D19)</f>
        <v>21</v>
      </c>
      <c r="E21" s="1"/>
      <c r="F21" s="14">
        <f t="shared" ref="F21:H21" si="1">SUM(F5:F19)</f>
        <v>0</v>
      </c>
      <c r="G21" s="14">
        <f t="shared" si="1"/>
        <v>0</v>
      </c>
      <c r="H21" s="14">
        <f t="shared" si="1"/>
        <v>0</v>
      </c>
      <c r="I21" s="18">
        <f>SUM(F21:H21)</f>
        <v>0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9"/>
      <c r="C22" s="20"/>
      <c r="D22" s="20"/>
      <c r="E22" s="20"/>
      <c r="F22" s="20"/>
      <c r="G22" s="20"/>
      <c r="H22" s="20"/>
      <c r="I22" s="20"/>
      <c r="J22" s="20"/>
      <c r="K22" s="20"/>
      <c r="L22" s="2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/>
  <pageMargins bottom="0.7875" footer="0.0" header="0.0" left="0.5118055555555555" right="0.5118055555555555" top="0.78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26" width="8.71"/>
  </cols>
  <sheetData>
    <row r="1">
      <c r="A1" s="22" t="s">
        <v>14</v>
      </c>
    </row>
    <row r="2">
      <c r="A2" s="22" t="s">
        <v>15</v>
      </c>
    </row>
    <row r="3">
      <c r="A3" s="22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55" right="0.5118055555555555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68.57"/>
    <col customWidth="1" min="3" max="3" width="26.57"/>
    <col customWidth="1" min="4" max="4" width="28.57"/>
    <col customWidth="1" min="5" max="5" width="38.71"/>
    <col customWidth="1" min="6" max="7" width="15.14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Capa!D5</f>
        <v>6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7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18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15.75" customHeight="1">
      <c r="A5" s="32" t="s">
        <v>19</v>
      </c>
      <c r="B5" s="33" t="s">
        <v>20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15.0" customHeight="1">
      <c r="A6" s="34" t="s">
        <v>21</v>
      </c>
      <c r="B6" s="35" t="s">
        <v>22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30</v>
      </c>
      <c r="C9" s="40" t="s">
        <v>31</v>
      </c>
      <c r="D9" s="40" t="s">
        <v>32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33</v>
      </c>
      <c r="C10" s="40" t="s">
        <v>34</v>
      </c>
      <c r="D10" s="39" t="s">
        <v>35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36</v>
      </c>
      <c r="C11" s="40" t="s">
        <v>37</v>
      </c>
      <c r="D11" s="39" t="s">
        <v>38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39" t="s">
        <v>39</v>
      </c>
      <c r="C12" s="40" t="s">
        <v>40</v>
      </c>
      <c r="D12" s="39" t="s">
        <v>41</v>
      </c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39" t="s">
        <v>42</v>
      </c>
      <c r="C13" s="40" t="s">
        <v>40</v>
      </c>
      <c r="D13" s="39" t="s">
        <v>43</v>
      </c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39" t="s">
        <v>44</v>
      </c>
      <c r="C14" s="40" t="s">
        <v>45</v>
      </c>
      <c r="D14" s="39" t="s">
        <v>46</v>
      </c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63.14"/>
    <col customWidth="1" min="3" max="3" width="26.71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Capa!D6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8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47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19</v>
      </c>
      <c r="B5" s="33" t="s">
        <v>48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21</v>
      </c>
      <c r="B6" s="35" t="s">
        <v>22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49</v>
      </c>
      <c r="C9" s="40" t="s">
        <v>50</v>
      </c>
      <c r="D9" s="39" t="s">
        <v>51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52</v>
      </c>
      <c r="C10" s="40" t="s">
        <v>53</v>
      </c>
      <c r="D10" s="39" t="s">
        <v>54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55</v>
      </c>
      <c r="C11" s="40" t="s">
        <v>56</v>
      </c>
      <c r="D11" s="39" t="s">
        <v>57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45"/>
      <c r="C12" s="45"/>
      <c r="D12" s="45"/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45"/>
      <c r="C13" s="45"/>
      <c r="D13" s="45"/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46"/>
      <c r="C14" s="46"/>
      <c r="D14" s="46"/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67.0"/>
    <col customWidth="1" min="3" max="3" width="27.14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Capa!D7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9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58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19</v>
      </c>
      <c r="B5" s="33" t="s">
        <v>59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21</v>
      </c>
      <c r="B6" s="35" t="s">
        <v>22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60</v>
      </c>
      <c r="C9" s="40" t="s">
        <v>61</v>
      </c>
      <c r="D9" s="39" t="s">
        <v>62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63</v>
      </c>
      <c r="C10" s="40" t="s">
        <v>64</v>
      </c>
      <c r="D10" s="39" t="s">
        <v>65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66</v>
      </c>
      <c r="C11" s="40" t="s">
        <v>67</v>
      </c>
      <c r="D11" s="39" t="s">
        <v>68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45"/>
      <c r="C12" s="45"/>
      <c r="D12" s="45"/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45"/>
      <c r="C13" s="45"/>
      <c r="D13" s="45"/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46"/>
      <c r="C14" s="46"/>
      <c r="D14" s="46"/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5.14"/>
    <col customWidth="1" min="3" max="3" width="42.14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Capa!D8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10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69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19</v>
      </c>
      <c r="B5" s="33" t="s">
        <v>70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21</v>
      </c>
      <c r="B6" s="35" t="s">
        <v>22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71</v>
      </c>
      <c r="C9" s="40" t="s">
        <v>72</v>
      </c>
      <c r="D9" s="39" t="s">
        <v>32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73</v>
      </c>
      <c r="C10" s="40" t="s">
        <v>74</v>
      </c>
      <c r="D10" s="39" t="s">
        <v>75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44</v>
      </c>
      <c r="C11" s="40" t="s">
        <v>76</v>
      </c>
      <c r="D11" s="39" t="s">
        <v>77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45"/>
      <c r="C12" s="45"/>
      <c r="D12" s="45"/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45"/>
      <c r="C13" s="45"/>
      <c r="D13" s="45"/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46"/>
      <c r="C14" s="46"/>
      <c r="D14" s="46"/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64.71"/>
    <col customWidth="1" min="3" max="3" width="27.71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Capa!D9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11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78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19</v>
      </c>
      <c r="B5" s="33" t="s">
        <v>79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21</v>
      </c>
      <c r="B6" s="35" t="s">
        <v>22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80</v>
      </c>
      <c r="C9" s="40" t="s">
        <v>81</v>
      </c>
      <c r="D9" s="39" t="s">
        <v>51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82</v>
      </c>
      <c r="C10" s="40" t="s">
        <v>83</v>
      </c>
      <c r="D10" s="39" t="s">
        <v>84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85</v>
      </c>
      <c r="C11" s="40" t="s">
        <v>86</v>
      </c>
      <c r="D11" s="39" t="s">
        <v>87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45"/>
      <c r="C12" s="45"/>
      <c r="D12" s="45"/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45"/>
      <c r="C13" s="45"/>
      <c r="D13" s="45"/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46"/>
      <c r="C14" s="46"/>
      <c r="D14" s="46"/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5.43"/>
    <col customWidth="1" min="3" max="3" width="56.71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Capa!D10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12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88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19</v>
      </c>
      <c r="B5" s="33" t="s">
        <v>89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21</v>
      </c>
      <c r="B6" s="47" t="s">
        <v>90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23</v>
      </c>
      <c r="B8" s="36" t="s">
        <v>24</v>
      </c>
      <c r="C8" s="36" t="s">
        <v>25</v>
      </c>
      <c r="D8" s="36" t="s">
        <v>26</v>
      </c>
      <c r="E8" s="36" t="s">
        <v>27</v>
      </c>
      <c r="F8" s="37" t="s">
        <v>28</v>
      </c>
      <c r="G8" s="37" t="s">
        <v>29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8">
        <v>1.0</v>
      </c>
      <c r="B9" s="39" t="s">
        <v>91</v>
      </c>
      <c r="C9" s="40" t="s">
        <v>92</v>
      </c>
      <c r="D9" s="39" t="s">
        <v>93</v>
      </c>
      <c r="E9" s="41"/>
      <c r="F9" s="41"/>
      <c r="G9" s="41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27"/>
      <c r="Y9" s="27"/>
      <c r="Z9" s="27"/>
      <c r="AA9" s="27"/>
    </row>
    <row r="10" ht="16.5" customHeight="1">
      <c r="A10" s="43">
        <v>2.0</v>
      </c>
      <c r="B10" s="39" t="s">
        <v>94</v>
      </c>
      <c r="C10" s="40" t="s">
        <v>95</v>
      </c>
      <c r="D10" s="39" t="s">
        <v>96</v>
      </c>
      <c r="E10" s="41"/>
      <c r="F10" s="41"/>
      <c r="G10" s="41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27"/>
      <c r="Y10" s="27"/>
      <c r="Z10" s="27"/>
      <c r="AA10" s="27"/>
    </row>
    <row r="11" ht="16.5" customHeight="1">
      <c r="A11" s="43">
        <v>3.0</v>
      </c>
      <c r="B11" s="39" t="s">
        <v>97</v>
      </c>
      <c r="C11" s="40" t="s">
        <v>98</v>
      </c>
      <c r="D11" s="39" t="s">
        <v>99</v>
      </c>
      <c r="E11" s="44"/>
      <c r="F11" s="44"/>
      <c r="G11" s="44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3">
        <v>4.0</v>
      </c>
      <c r="B12" s="45"/>
      <c r="C12" s="45"/>
      <c r="D12" s="45"/>
      <c r="E12" s="41"/>
      <c r="F12" s="41"/>
      <c r="G12" s="41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3">
        <v>5.0</v>
      </c>
      <c r="B13" s="45"/>
      <c r="C13" s="45"/>
      <c r="D13" s="45"/>
      <c r="E13" s="41"/>
      <c r="F13" s="41"/>
      <c r="G13" s="41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8">
        <v>6.0</v>
      </c>
      <c r="B14" s="46"/>
      <c r="C14" s="46"/>
      <c r="D14" s="46"/>
      <c r="E14" s="41"/>
      <c r="F14" s="41"/>
      <c r="G14" s="41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3">
        <v>7.0</v>
      </c>
      <c r="B15" s="45"/>
      <c r="C15" s="45"/>
      <c r="D15" s="45"/>
      <c r="E15" s="41"/>
      <c r="F15" s="41"/>
      <c r="G15" s="41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3">
        <v>8.0</v>
      </c>
      <c r="B16" s="45"/>
      <c r="C16" s="45"/>
      <c r="D16" s="45"/>
      <c r="E16" s="44"/>
      <c r="F16" s="44"/>
      <c r="G16" s="44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3">
        <v>9.0</v>
      </c>
      <c r="B17" s="45"/>
      <c r="C17" s="45"/>
      <c r="D17" s="45"/>
      <c r="E17" s="41"/>
      <c r="F17" s="41"/>
      <c r="G17" s="41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3">
        <v>10.0</v>
      </c>
      <c r="B18" s="45"/>
      <c r="C18" s="45"/>
      <c r="D18" s="45"/>
      <c r="E18" s="41"/>
      <c r="F18" s="41"/>
      <c r="G18" s="41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8">
        <v>11.0</v>
      </c>
      <c r="B19" s="46"/>
      <c r="C19" s="46"/>
      <c r="D19" s="46"/>
      <c r="E19" s="41"/>
      <c r="F19" s="41"/>
      <c r="G19" s="41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