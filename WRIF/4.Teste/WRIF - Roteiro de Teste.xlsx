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hidden" name="AUX" sheetId="2" r:id="rId6"/>
    <sheet state="visible" name="Manter Diagnóstico" sheetId="3" r:id="rId7"/>
    <sheet state="visible" name="Consultar Histórico de Diagnóst" sheetId="4" r:id="rId8"/>
    <sheet state="visible" name="Processar Diagnóstico" sheetId="5" r:id="rId9"/>
    <sheet state="visible" name="Manter Registro" sheetId="6" r:id="rId10"/>
    <sheet state="visible" name="Manter Base de Espécies" sheetId="7" r:id="rId11"/>
    <sheet state="visible" name="Acompanhar Métricas do Sistema" sheetId="8" r:id="rId12"/>
  </sheets>
  <definedNames>
    <definedName name="combo_SimNao">AUX!$A$2:$A$3</definedName>
  </definedNames>
  <calcPr/>
</workbook>
</file>

<file path=xl/sharedStrings.xml><?xml version="1.0" encoding="utf-8"?>
<sst xmlns="http://schemas.openxmlformats.org/spreadsheetml/2006/main" count="182" uniqueCount="102">
  <si>
    <t>WormIF - WRIF</t>
  </si>
  <si>
    <t>Qde de Defeitos</t>
  </si>
  <si>
    <t>Caso de Uso</t>
  </si>
  <si>
    <t>Total de Cenários</t>
  </si>
  <si>
    <t>Ciclo 1</t>
  </si>
  <si>
    <t>Ciclo 2</t>
  </si>
  <si>
    <t>Ciclo 3</t>
  </si>
  <si>
    <t>Manter Diagnóstico</t>
  </si>
  <si>
    <t>Consultar Histórico de Diagnósticos</t>
  </si>
  <si>
    <t>Processar Diagnóstico</t>
  </si>
  <si>
    <t>Manter Registro</t>
  </si>
  <si>
    <t>Manter Base de Espécies</t>
  </si>
  <si>
    <t>Acompanhar Métricas do Sistema</t>
  </si>
  <si>
    <t>Totais</t>
  </si>
  <si>
    <t>combo_SimNao</t>
  </si>
  <si>
    <t>Sim</t>
  </si>
  <si>
    <t>Não</t>
  </si>
  <si>
    <t>Script de Teste:</t>
  </si>
  <si>
    <t>Massa de Teste:</t>
  </si>
  <si>
    <t>Nome do Script sql com os dados para teste</t>
  </si>
  <si>
    <t>Pré-Condições:</t>
  </si>
  <si>
    <t>O usuário deve estar logado no Sistema e possuir perfil de acesso à funcionalidade .</t>
  </si>
  <si>
    <t>Nr. Cenário</t>
  </si>
  <si>
    <t>Descrição</t>
  </si>
  <si>
    <t>Entradas (Tudo que envolve ação)</t>
  </si>
  <si>
    <t>Resultado Esperado</t>
  </si>
  <si>
    <t>Problemas/Observações</t>
  </si>
  <si>
    <t>Qde. Defeitos</t>
  </si>
  <si>
    <t>Qde. Ciclos</t>
  </si>
  <si>
    <t>Adicionar uma imagem fotografada de um inseto/verme</t>
  </si>
  <si>
    <t>Clique na caixa de entrada 'Arraste uma imagem ou clique para selecionar', Entre no Explorer e escolhe um Arquivo .png/.jpg</t>
  </si>
  <si>
    <t>Ao clicar em enviar, irá aparecer uma mensagem dizendo "Imagem carregada"</t>
  </si>
  <si>
    <t>Usar um arquivo de texto ao inserir uma imagem</t>
  </si>
  <si>
    <t>Clique na caixa de entrada 'Arraste uma imagem ou clique para selecionar', Entre no Explorer e escolhe um Arquivo Arquivo .pdf</t>
  </si>
  <si>
    <t>Ao clicar em enviar, irá aparecer uma mensagem dizendo "Formato não suportado"</t>
  </si>
  <si>
    <t>Excluir uma imagem escolhida antes de confirmar o envio</t>
  </si>
  <si>
    <t>Clique no botão 'X' no canto superior direito da imagem</t>
  </si>
  <si>
    <t>A imagem será excluída, mas ainda estará aberto a opção de adicionar uma imagem</t>
  </si>
  <si>
    <t>Alterar uma imagem escolhida antes de confirmar o envio</t>
  </si>
  <si>
    <t xml:space="preserve">Excluir a imagem e selecionar um novo Arquivo .png/.jpg </t>
  </si>
  <si>
    <t>Enviar uma imagem</t>
  </si>
  <si>
    <t>Clicar no botão 'Identificar Espécie'</t>
  </si>
  <si>
    <t>O diagnóstico será criado, informando Nome, Nome Científico Familiar, Descrição, Características, Habitat e Ciclo de Vida</t>
  </si>
  <si>
    <t>Iniciar um novo Diagnóstico</t>
  </si>
  <si>
    <t>Clicar no botão 'Nova Análise'</t>
  </si>
  <si>
    <t>A página irá carregar para a tela contendo a caixa de entrada 'Arraste uma imagem ou clique para selecionar'</t>
  </si>
  <si>
    <t>Excluir um Diagnóstico</t>
  </si>
  <si>
    <t>Selecionar o diagnóstico desejado e Selecionar a opção 'Excluir Análise'</t>
  </si>
  <si>
    <t>O diagnóstico será excluído e irá aparecer uma mensagem dizendo "Análise excluída"</t>
  </si>
  <si>
    <t>Entradas</t>
  </si>
  <si>
    <t>Procurar Histórico dos Diagnósticos anteriores</t>
  </si>
  <si>
    <t>Clique em 'Histórico'</t>
  </si>
  <si>
    <t>Irá aparecer todos os Diagnósticos já existentes até o momento</t>
  </si>
  <si>
    <t>Selecionar a filtragem dos Diagnósticos</t>
  </si>
  <si>
    <t>Na aba de pesquisa, clique na opção Filtrar</t>
  </si>
  <si>
    <t>Ao selecionar para Filtrar, irá aparecer as opções de filtrar por Nome, Nome Científico Familiar, Descrição (alguma frase escrita no Diagnóstico), Características, Habitat, Ciclo de Vida (alguma frase escrita no Diagnóstico) e Data, onde ao selecionar um filtro os resultados irão aparecer</t>
  </si>
  <si>
    <t>Procurar por Diagnósticos que não existem no Histórico</t>
  </si>
  <si>
    <t>Irá aparecer uma mensagem dizendo "Nenhum Diagnóstico existente no momento"</t>
  </si>
  <si>
    <t>Sim (PlayWright)</t>
  </si>
  <si>
    <t>Receber imagem</t>
  </si>
  <si>
    <t>Arquivo de imagem via API</t>
  </si>
  <si>
    <t>Recebimento correto</t>
  </si>
  <si>
    <t>Processar</t>
  </si>
  <si>
    <t>Insumo para o modelo CNN</t>
  </si>
  <si>
    <t>Identificação feita</t>
  </si>
  <si>
    <t>Retornar</t>
  </si>
  <si>
    <t>Output do modelo</t>
  </si>
  <si>
    <t>Resposta enviada</t>
  </si>
  <si>
    <t>Mostrar todos diagnósticos das IAs não avaliadas desde a última vez</t>
  </si>
  <si>
    <t>Clique no botão 'Diagnósticos Recentes'</t>
  </si>
  <si>
    <t>Ao clicar no botão, irá aparecer uma janela lateral com várias notificações de Diagnósticos gerados pela IA sem sua avaliação para poder visualizar.</t>
  </si>
  <si>
    <t>Aprovar um diagnóstico da IA</t>
  </si>
  <si>
    <t>Clique no botão 'Diagnósticos Recentes' para poder visualizar as informações e clicar em 'Aprovado'</t>
  </si>
  <si>
    <t>Ao clicar no botão e confirmar que o Diagnóstico da IA está correto, irá aparecer uma mensagem dizendo 'Aprovação feita com Sucesso'. Para o usuário dono deste diagnóstico receberá uma notificação dizendo 'Diagnóstico aprovado por um especialista da área'.</t>
  </si>
  <si>
    <t>Desaprovar um diagnóstico da IA</t>
  </si>
  <si>
    <t>Clique no botão 'Diagnósticos Recentes' para poder visualizar as informações e clicar em 'Rejeitar'</t>
  </si>
  <si>
    <t>Ao clicar no botão e confirmar que o Diagnóstico da IA está errado, irá aparecer uma mensagem dizendo 'Rejeição executada'. Para o usuário dono deste diagnóstico receberá uma notificação dizendo 'Diagnóstico Rejeitado por um especialista da área por conter informações incorretas'.</t>
  </si>
  <si>
    <t>Mostrar nenhum diagnóstico das IAs não avaliadas desde a última vez</t>
  </si>
  <si>
    <t>Ao clicar no botão, irá aparecer uma janela lateral com nenhuma notificação, contendo uma mensagem dizendo 'Nenhum Diagnóstico no momento'.</t>
  </si>
  <si>
    <t>Cadastrar um espécime</t>
  </si>
  <si>
    <t>Clique no botão 'Novo Espécime' e Informe seu Nome, Espécie/Família, Estágio, Descrição e Imagem Base em Arquivo .png/.jpg</t>
  </si>
  <si>
    <t>Ao informar corretamente cada item, aparecerá uma tela dizendo "Cadastro Concluído"</t>
  </si>
  <si>
    <t>Não adicionar 1 informação no cadastro</t>
  </si>
  <si>
    <t>Clique no botão 'Novo Espécime' e não informe pelo menos 1 item do Cadastro</t>
  </si>
  <si>
    <t>A tela mostrará uma mensagem de erro dizendo "Falta informação ainda"</t>
  </si>
  <si>
    <t>Repetir um cadastro existente</t>
  </si>
  <si>
    <t>Clique no botão 'Novo Espécime' e Informe os itens idênticos a um Espécime já cadastrado</t>
  </si>
  <si>
    <t>A tela mostrará uma mensagem de erro dizendo "Este Espécime já existe"</t>
  </si>
  <si>
    <t xml:space="preserve">Selecionar um Arquivo .png/.jpg errado e clique no botão 'Mudar'. selecionando um novo Arquivo .png/.jpg </t>
  </si>
  <si>
    <t>A imagem anterior terá sido trocada pela nova escolha, mantendo os dados dos outros itens intactos</t>
  </si>
  <si>
    <t>Selecionar a filtragem dos Espécimes</t>
  </si>
  <si>
    <t>Ao selecionar para Filtrar, irá aparecer as opções de filtrar por Nome, Tipo, Estágio, Descrição (alguma frase escrita no Diagnóstico) e Data, onde ao selecionar um filtro os resultados irão aparecer</t>
  </si>
  <si>
    <t xml:space="preserve">O usuário deve estar logado no Sistema e possuir perfil de acesso à funcionalidade .	</t>
  </si>
  <si>
    <t>Ver taxa acerto da IA</t>
  </si>
  <si>
    <t>Clique no botão 'Diagnósticos'</t>
  </si>
  <si>
    <t>Ao clicar no painel, irá mostrar porcentagem média de acertos de todos os diagnósticos feitos, além de informar a quantidade de cada e o total.</t>
  </si>
  <si>
    <t>Ver análises dos Especialistas</t>
  </si>
  <si>
    <t>Clique no painel 'Especialista'</t>
  </si>
  <si>
    <t>Ao clicar no painel, irá mostrar todos os diagnósticos aprovados e desaprovados pelos especialistas, além de informar a quantidade de cada e o total.</t>
  </si>
  <si>
    <t>Filtrar análises dos Especialistas</t>
  </si>
  <si>
    <t>Clique no painel 'Especialista' e selecione a opção 'Aprovado' ou 'Rejeitado'</t>
  </si>
  <si>
    <t>Ao clicar no painel, irá mostrar todos os diagnósticos aprovados ou desaprovados pelos especialistas de acordo com o demarcado, além de informar a quantidade de cada e o 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</si>
</sst>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Calibri"/>
      <scheme val="minor"/>
    </font>
    <font>
      <sz val="11.0"/>
      <color rgb="FF000000"/>
      <name val="Arial"/>
    </font>
    <font>
      <b/>
      <sz val="14.0"/>
      <color rgb="FFFFFFFF"/>
      <name val="Arial"/>
    </font>
    <font/>
    <font>
      <b/>
      <sz val="10.0"/>
      <color theme="0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Calibri"/>
    </font>
    <font>
      <b/>
      <sz val="14.0"/>
      <color rgb="FF000000"/>
      <name val="Arial"/>
    </font>
    <font>
      <b/>
      <sz val="11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i/>
      <sz val="11.0"/>
      <color rgb="FF000000"/>
      <name val="Arial"/>
    </font>
    <font>
      <b/>
      <sz val="11.0"/>
      <color rgb="FFFFFFFF"/>
      <name val="Arial"/>
    </font>
    <font>
      <color rgb="FF000000"/>
      <name val="Arial"/>
    </font>
    <font>
      <sz val="11.0"/>
      <color rgb="FFFF0000"/>
      <name val="Arial"/>
    </font>
    <font>
      <sz val="11.0"/>
      <color rgb="FF33CCCC"/>
      <name val="Arial"/>
    </font>
    <font>
      <sz val="11.0"/>
      <color rgb="FFFF0000"/>
      <name val="Calibri"/>
    </font>
    <font>
      <b/>
      <sz val="14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2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6" fillId="0" fontId="1" numFmtId="0" xfId="0" applyBorder="1" applyFont="1"/>
    <xf borderId="7" fillId="2" fontId="4" numFmtId="0" xfId="0" applyAlignment="1" applyBorder="1" applyFont="1">
      <alignment horizontal="center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7" fillId="0" fontId="5" numFmtId="0" xfId="0" applyBorder="1" applyFont="1"/>
    <xf borderId="7" fillId="0" fontId="5" numFmtId="0" xfId="0" applyAlignment="1" applyBorder="1" applyFont="1">
      <alignment horizontal="center"/>
    </xf>
    <xf borderId="7" fillId="2" fontId="4" numFmtId="0" xfId="0" applyBorder="1" applyFont="1"/>
    <xf borderId="8" fillId="2" fontId="4" numFmtId="0" xfId="0" applyBorder="1" applyFont="1"/>
    <xf borderId="9" fillId="2" fontId="4" numFmtId="0" xfId="0" applyBorder="1" applyFont="1"/>
    <xf borderId="0" fillId="0" fontId="6" numFmtId="0" xfId="0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0" fillId="0" fontId="7" numFmtId="0" xfId="0" applyFont="1"/>
    <xf borderId="13" fillId="2" fontId="2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16" fillId="3" fontId="8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6" fillId="3" fontId="9" numFmtId="0" xfId="0" applyAlignment="1" applyBorder="1" applyFont="1">
      <alignment horizontal="center" readingOrder="0" shrinkToFit="0" vertical="center" wrapText="1"/>
    </xf>
    <xf borderId="16" fillId="2" fontId="10" numFmtId="0" xfId="0" applyAlignment="1" applyBorder="1" applyFont="1">
      <alignment horizontal="left" shrinkToFit="0" vertical="center" wrapText="1"/>
    </xf>
    <xf borderId="16" fillId="4" fontId="11" numFmtId="0" xfId="0" applyAlignment="1" applyBorder="1" applyFill="1" applyFont="1">
      <alignment horizontal="left" readingOrder="0" shrinkToFit="0" vertical="center" wrapText="1"/>
    </xf>
    <xf borderId="16" fillId="2" fontId="10" numFmtId="0" xfId="0" applyAlignment="1" applyBorder="1" applyFont="1">
      <alignment horizontal="left" vertical="center"/>
    </xf>
    <xf borderId="16" fillId="4" fontId="12" numFmtId="0" xfId="0" applyAlignment="1" applyBorder="1" applyFont="1">
      <alignment vertical="center"/>
    </xf>
    <xf borderId="7" fillId="2" fontId="10" numFmtId="0" xfId="0" applyAlignment="1" applyBorder="1" applyFont="1">
      <alignment horizontal="center" shrinkToFit="0" vertical="center" wrapText="1"/>
    </xf>
    <xf borderId="7" fillId="2" fontId="13" numFmtId="0" xfId="0" applyAlignment="1" applyBorder="1" applyFont="1">
      <alignment horizontal="center" readingOrder="0" shrinkToFit="0" vertical="center" wrapText="1"/>
    </xf>
    <xf borderId="19" fillId="2" fontId="10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4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wrapText="1"/>
    </xf>
    <xf borderId="16" fillId="0" fontId="1" numFmtId="0" xfId="0" applyAlignment="1" applyBorder="1" applyFont="1">
      <alignment horizontal="center" shrinkToFit="0" vertical="center" wrapText="1"/>
    </xf>
    <xf borderId="7" fillId="4" fontId="17" numFmtId="0" xfId="0" applyAlignment="1" applyBorder="1" applyFont="1">
      <alignment horizontal="center" vertical="center"/>
    </xf>
    <xf borderId="7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13" fillId="2" fontId="1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16" fillId="4" fontId="12" numFmtId="0" xfId="0" applyAlignment="1" applyBorder="1" applyFont="1">
      <alignment readingOrder="0" vertical="center"/>
    </xf>
    <xf borderId="16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4.29"/>
    <col customWidth="1" min="3" max="3" width="31.29"/>
    <col customWidth="1" min="4" max="4" width="17.29"/>
    <col customWidth="1" min="5" max="5" width="10.57"/>
    <col customWidth="1" min="6" max="6" width="11.29"/>
    <col customWidth="1" min="7" max="7" width="10.29"/>
    <col customWidth="1" min="8" max="8" width="9.0"/>
    <col customWidth="1" min="9" max="9" width="9.43"/>
    <col customWidth="1" min="10" max="26" width="9.0"/>
  </cols>
  <sheetData>
    <row r="1" ht="5.2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/>
      <c r="C2" s="4" t="s">
        <v>0</v>
      </c>
      <c r="D2" s="5"/>
      <c r="E2" s="5"/>
      <c r="F2" s="5"/>
      <c r="G2" s="5"/>
      <c r="H2" s="5"/>
      <c r="I2" s="5"/>
      <c r="J2" s="5"/>
      <c r="K2" s="5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7"/>
      <c r="C3" s="1"/>
      <c r="D3" s="2"/>
      <c r="E3" s="1"/>
      <c r="F3" s="1"/>
      <c r="G3" s="1" t="s">
        <v>1</v>
      </c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7"/>
      <c r="C4" s="9" t="s">
        <v>2</v>
      </c>
      <c r="D4" s="9" t="s">
        <v>3</v>
      </c>
      <c r="E4" s="1"/>
      <c r="F4" s="9" t="s">
        <v>4</v>
      </c>
      <c r="G4" s="9" t="s">
        <v>5</v>
      </c>
      <c r="H4" s="9" t="s">
        <v>6</v>
      </c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"/>
      <c r="C5" s="10" t="s">
        <v>7</v>
      </c>
      <c r="D5" s="11">
        <v>7.0</v>
      </c>
      <c r="E5" s="1"/>
      <c r="F5" s="12"/>
      <c r="G5" s="12"/>
      <c r="H5" s="12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"/>
      <c r="C6" s="10" t="s">
        <v>8</v>
      </c>
      <c r="D6" s="11">
        <v>3.0</v>
      </c>
      <c r="E6" s="1"/>
      <c r="F6" s="12"/>
      <c r="G6" s="12"/>
      <c r="H6" s="12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"/>
      <c r="C7" s="10" t="s">
        <v>9</v>
      </c>
      <c r="D7" s="11">
        <v>3.0</v>
      </c>
      <c r="E7" s="1"/>
      <c r="F7" s="12"/>
      <c r="G7" s="12"/>
      <c r="H7" s="12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7"/>
      <c r="C8" s="10" t="s">
        <v>10</v>
      </c>
      <c r="D8" s="11">
        <v>4.0</v>
      </c>
      <c r="E8" s="1"/>
      <c r="F8" s="12"/>
      <c r="G8" s="12"/>
      <c r="H8" s="12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"/>
      <c r="C9" s="10" t="s">
        <v>11</v>
      </c>
      <c r="D9" s="11">
        <v>5.0</v>
      </c>
      <c r="E9" s="1"/>
      <c r="F9" s="12"/>
      <c r="G9" s="12"/>
      <c r="H9" s="12"/>
      <c r="I9" s="1"/>
      <c r="J9" s="1"/>
      <c r="K9" s="1"/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7"/>
      <c r="C10" s="10" t="s">
        <v>12</v>
      </c>
      <c r="D10" s="11">
        <v>3.0</v>
      </c>
      <c r="E10" s="1"/>
      <c r="F10" s="12"/>
      <c r="G10" s="12"/>
      <c r="H10" s="12"/>
      <c r="I10" s="1"/>
      <c r="J10" s="1"/>
      <c r="K10" s="1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7"/>
      <c r="C11" s="13"/>
      <c r="D11" s="14"/>
      <c r="E11" s="1"/>
      <c r="F11" s="12"/>
      <c r="G11" s="12"/>
      <c r="H11" s="12"/>
      <c r="I11" s="1"/>
      <c r="J11" s="1"/>
      <c r="K11" s="1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7"/>
      <c r="C12" s="13"/>
      <c r="D12" s="14"/>
      <c r="E12" s="1"/>
      <c r="F12" s="12"/>
      <c r="G12" s="12"/>
      <c r="H12" s="12"/>
      <c r="I12" s="1"/>
      <c r="J12" s="1"/>
      <c r="K12" s="1"/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7"/>
      <c r="C13" s="13"/>
      <c r="D13" s="14"/>
      <c r="E13" s="1"/>
      <c r="F13" s="12"/>
      <c r="G13" s="12"/>
      <c r="H13" s="12"/>
      <c r="I13" s="1"/>
      <c r="J13" s="1"/>
      <c r="K13" s="1"/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7"/>
      <c r="C14" s="13"/>
      <c r="D14" s="14"/>
      <c r="E14" s="1"/>
      <c r="F14" s="12"/>
      <c r="G14" s="12"/>
      <c r="H14" s="12"/>
      <c r="I14" s="1"/>
      <c r="J14" s="1"/>
      <c r="K14" s="1"/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7"/>
      <c r="C15" s="13"/>
      <c r="D15" s="14"/>
      <c r="E15" s="1"/>
      <c r="F15" s="12"/>
      <c r="G15" s="12"/>
      <c r="H15" s="12"/>
      <c r="I15" s="1"/>
      <c r="J15" s="1"/>
      <c r="K15" s="1"/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7"/>
      <c r="C16" s="13"/>
      <c r="D16" s="14"/>
      <c r="E16" s="1"/>
      <c r="F16" s="12"/>
      <c r="G16" s="12"/>
      <c r="H16" s="12"/>
      <c r="I16" s="1"/>
      <c r="J16" s="1"/>
      <c r="K16" s="1"/>
      <c r="L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7"/>
      <c r="C17" s="13"/>
      <c r="D17" s="14"/>
      <c r="E17" s="1"/>
      <c r="F17" s="12"/>
      <c r="G17" s="12"/>
      <c r="H17" s="12"/>
      <c r="I17" s="1"/>
      <c r="J17" s="1"/>
      <c r="K17" s="1"/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"/>
      <c r="C18" s="13"/>
      <c r="D18" s="14"/>
      <c r="E18" s="1"/>
      <c r="F18" s="12"/>
      <c r="G18" s="12"/>
      <c r="H18" s="12"/>
      <c r="I18" s="1"/>
      <c r="J18" s="1"/>
      <c r="K18" s="1"/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7"/>
      <c r="C19" s="13"/>
      <c r="D19" s="14"/>
      <c r="E19" s="1"/>
      <c r="F19" s="12"/>
      <c r="G19" s="12"/>
      <c r="H19" s="12"/>
      <c r="I19" s="1"/>
      <c r="J19" s="1"/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7"/>
      <c r="C20" s="15" t="s">
        <v>13</v>
      </c>
      <c r="D20" s="15"/>
      <c r="E20" s="1"/>
      <c r="F20" s="16"/>
      <c r="G20" s="16"/>
      <c r="H20" s="17"/>
      <c r="I20" s="1"/>
      <c r="J20" s="1"/>
      <c r="K20" s="1"/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7"/>
      <c r="C21" s="14">
        <f>COUNTA(C5:C19)</f>
        <v>6</v>
      </c>
      <c r="D21" s="14">
        <f>SUM(D5:D19)</f>
        <v>25</v>
      </c>
      <c r="E21" s="1"/>
      <c r="F21" s="14">
        <f t="shared" ref="F21:H21" si="1">SUM(F5:F19)</f>
        <v>0</v>
      </c>
      <c r="G21" s="14">
        <f t="shared" si="1"/>
        <v>0</v>
      </c>
      <c r="H21" s="14">
        <f t="shared" si="1"/>
        <v>0</v>
      </c>
      <c r="I21" s="18">
        <f>SUM(F21:H21)</f>
        <v>0</v>
      </c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L2"/>
  </mergeCells>
  <printOptions/>
  <pageMargins bottom="0.7875" footer="0.0" header="0.0" left="0.5118055555555555" right="0.5118055555555555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26" width="8.71"/>
  </cols>
  <sheetData>
    <row r="1">
      <c r="A1" s="22" t="s">
        <v>14</v>
      </c>
    </row>
    <row r="2">
      <c r="A2" s="22" t="s">
        <v>15</v>
      </c>
    </row>
    <row r="3">
      <c r="A3" s="2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5" right="0.511805555555555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56.43"/>
    <col customWidth="1" min="3" max="3" width="43.0"/>
    <col customWidth="1" min="4" max="4" width="35.29"/>
    <col customWidth="1" min="5" max="5" width="38.71"/>
    <col customWidth="1" min="6" max="7" width="15.14"/>
    <col customWidth="1" min="8" max="27" width="9.14"/>
  </cols>
  <sheetData>
    <row r="1" ht="15.0" customHeight="1">
      <c r="A1" s="23" t="s">
        <v>3</v>
      </c>
      <c r="B1" s="24"/>
      <c r="C1" s="25"/>
      <c r="D1" s="26"/>
      <c r="E1" s="26"/>
      <c r="F1" s="26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4.25" customHeight="1">
      <c r="A2" s="28">
        <f>Capa!D5</f>
        <v>7</v>
      </c>
      <c r="B2" s="29"/>
      <c r="C2" s="30"/>
      <c r="D2" s="26"/>
      <c r="E2" s="26"/>
      <c r="F2" s="26"/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31" t="s">
        <v>7</v>
      </c>
      <c r="B3" s="29"/>
      <c r="C3" s="30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6.5" customHeight="1">
      <c r="A4" s="32" t="s">
        <v>17</v>
      </c>
      <c r="B4" s="33" t="s">
        <v>16</v>
      </c>
      <c r="C4" s="30"/>
      <c r="D4" s="26"/>
      <c r="E4" s="26"/>
      <c r="F4" s="26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32" t="s">
        <v>18</v>
      </c>
      <c r="B5" s="33" t="s">
        <v>19</v>
      </c>
      <c r="C5" s="30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0" customHeight="1">
      <c r="A6" s="34" t="s">
        <v>20</v>
      </c>
      <c r="B6" s="35" t="s">
        <v>21</v>
      </c>
      <c r="C6" s="30"/>
      <c r="D6" s="26"/>
      <c r="E6" s="26"/>
      <c r="F6" s="26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26"/>
      <c r="B7" s="26"/>
      <c r="C7" s="26"/>
      <c r="D7" s="26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0" customHeight="1">
      <c r="A8" s="36" t="s">
        <v>22</v>
      </c>
      <c r="B8" s="36" t="s">
        <v>23</v>
      </c>
      <c r="C8" s="37" t="s">
        <v>24</v>
      </c>
      <c r="D8" s="36" t="s">
        <v>25</v>
      </c>
      <c r="E8" s="36" t="s">
        <v>26</v>
      </c>
      <c r="F8" s="38" t="s">
        <v>27</v>
      </c>
      <c r="G8" s="38" t="s">
        <v>28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48.0" customHeight="1">
      <c r="A9" s="39">
        <v>1.0</v>
      </c>
      <c r="B9" s="40" t="s">
        <v>29</v>
      </c>
      <c r="C9" s="41" t="s">
        <v>30</v>
      </c>
      <c r="D9" s="41" t="s">
        <v>31</v>
      </c>
      <c r="E9" s="42"/>
      <c r="F9" s="42"/>
      <c r="G9" s="42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27"/>
      <c r="Y9" s="27"/>
      <c r="Z9" s="27"/>
      <c r="AA9" s="27"/>
    </row>
    <row r="10" ht="51.75" customHeight="1">
      <c r="A10" s="44">
        <f t="shared" ref="A10:A18" si="1">1+A9</f>
        <v>2</v>
      </c>
      <c r="B10" s="40" t="s">
        <v>32</v>
      </c>
      <c r="C10" s="41" t="s">
        <v>33</v>
      </c>
      <c r="D10" s="40" t="s">
        <v>34</v>
      </c>
      <c r="E10" s="42"/>
      <c r="F10" s="42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27"/>
      <c r="Y10" s="27"/>
      <c r="Z10" s="27"/>
      <c r="AA10" s="27"/>
    </row>
    <row r="11" ht="48.75" customHeight="1">
      <c r="A11" s="44">
        <f t="shared" si="1"/>
        <v>3</v>
      </c>
      <c r="B11" s="40" t="s">
        <v>35</v>
      </c>
      <c r="C11" s="41" t="s">
        <v>36</v>
      </c>
      <c r="D11" s="40" t="s">
        <v>37</v>
      </c>
      <c r="E11" s="45"/>
      <c r="F11" s="45"/>
      <c r="G11" s="45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48.75" customHeight="1">
      <c r="A12" s="44">
        <f t="shared" si="1"/>
        <v>4</v>
      </c>
      <c r="B12" s="40" t="s">
        <v>38</v>
      </c>
      <c r="C12" s="41" t="s">
        <v>39</v>
      </c>
      <c r="D12" s="41" t="s">
        <v>31</v>
      </c>
      <c r="E12" s="45"/>
      <c r="F12" s="45"/>
      <c r="G12" s="45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71.25" customHeight="1">
      <c r="A13" s="44">
        <f t="shared" si="1"/>
        <v>5</v>
      </c>
      <c r="B13" s="40" t="s">
        <v>40</v>
      </c>
      <c r="C13" s="41" t="s">
        <v>41</v>
      </c>
      <c r="D13" s="40" t="s">
        <v>42</v>
      </c>
      <c r="E13" s="42"/>
      <c r="F13" s="42"/>
      <c r="G13" s="42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60.0" customHeight="1">
      <c r="A14" s="44">
        <f t="shared" si="1"/>
        <v>6</v>
      </c>
      <c r="B14" s="40" t="s">
        <v>43</v>
      </c>
      <c r="C14" s="41" t="s">
        <v>44</v>
      </c>
      <c r="D14" s="40" t="s">
        <v>45</v>
      </c>
      <c r="E14" s="42"/>
      <c r="F14" s="42"/>
      <c r="G14" s="4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51.0" customHeight="1">
      <c r="A15" s="44">
        <f t="shared" si="1"/>
        <v>7</v>
      </c>
      <c r="B15" s="40" t="s">
        <v>46</v>
      </c>
      <c r="C15" s="41" t="s">
        <v>47</v>
      </c>
      <c r="D15" s="40" t="s">
        <v>48</v>
      </c>
      <c r="E15" s="42"/>
      <c r="F15" s="42"/>
      <c r="G15" s="42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4.25" customHeight="1">
      <c r="A16" s="44">
        <f t="shared" si="1"/>
        <v>8</v>
      </c>
      <c r="B16" s="46"/>
      <c r="C16" s="46"/>
      <c r="D16" s="46"/>
      <c r="E16" s="42"/>
      <c r="F16" s="42"/>
      <c r="G16" s="42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4.25" customHeight="1">
      <c r="A17" s="44">
        <f t="shared" si="1"/>
        <v>9</v>
      </c>
      <c r="B17" s="41"/>
      <c r="C17" s="46"/>
      <c r="D17" s="46"/>
      <c r="E17" s="42"/>
      <c r="F17" s="42"/>
      <c r="G17" s="4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4.25" customHeight="1">
      <c r="A18" s="44">
        <f t="shared" si="1"/>
        <v>10</v>
      </c>
      <c r="B18" s="47"/>
      <c r="C18" s="47"/>
      <c r="D18" s="47"/>
      <c r="E18" s="42"/>
      <c r="F18" s="42"/>
      <c r="G18" s="42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</sheetData>
  <mergeCells count="6">
    <mergeCell ref="A1:C1"/>
    <mergeCell ref="A2:C2"/>
    <mergeCell ref="A3:C3"/>
    <mergeCell ref="B4:C4"/>
    <mergeCell ref="B5:C5"/>
    <mergeCell ref="B6:C6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55.29"/>
    <col customWidth="1" min="3" max="3" width="27.0"/>
    <col customWidth="1" min="4" max="4" width="38.0"/>
    <col customWidth="1" min="5" max="5" width="38.71"/>
    <col customWidth="1" min="6" max="6" width="14.57"/>
    <col customWidth="1" min="7" max="7" width="12.71"/>
    <col customWidth="1" min="8" max="27" width="9.14"/>
  </cols>
  <sheetData>
    <row r="1" ht="15.0" customHeight="1">
      <c r="A1" s="48" t="s">
        <v>3</v>
      </c>
      <c r="B1" s="24"/>
      <c r="C1" s="25"/>
      <c r="D1" s="26"/>
      <c r="E1" s="26"/>
      <c r="F1" s="26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4.25" customHeight="1">
      <c r="A2" s="28">
        <f>Capa!D6</f>
        <v>3</v>
      </c>
      <c r="B2" s="29"/>
      <c r="C2" s="30"/>
      <c r="D2" s="26"/>
      <c r="E2" s="26"/>
      <c r="F2" s="26"/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31" t="s">
        <v>8</v>
      </c>
      <c r="B3" s="29"/>
      <c r="C3" s="30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6.5" customHeight="1">
      <c r="A4" s="32" t="s">
        <v>17</v>
      </c>
      <c r="B4" s="33" t="s">
        <v>16</v>
      </c>
      <c r="C4" s="30"/>
      <c r="D4" s="26"/>
      <c r="E4" s="26"/>
      <c r="F4" s="26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32" t="s">
        <v>18</v>
      </c>
      <c r="B5" s="33" t="s">
        <v>19</v>
      </c>
      <c r="C5" s="30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0" customHeight="1">
      <c r="A6" s="34" t="s">
        <v>20</v>
      </c>
      <c r="B6" s="35" t="s">
        <v>21</v>
      </c>
      <c r="C6" s="30"/>
      <c r="D6" s="26"/>
      <c r="E6" s="26"/>
      <c r="F6" s="26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0" customHeight="1">
      <c r="A7" s="26"/>
      <c r="B7" s="26"/>
      <c r="C7" s="26"/>
      <c r="D7" s="26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0" customHeight="1">
      <c r="A8" s="36" t="s">
        <v>22</v>
      </c>
      <c r="B8" s="36" t="s">
        <v>23</v>
      </c>
      <c r="C8" s="36" t="s">
        <v>49</v>
      </c>
      <c r="D8" s="36" t="s">
        <v>25</v>
      </c>
      <c r="E8" s="36" t="s">
        <v>26</v>
      </c>
      <c r="F8" s="38" t="s">
        <v>27</v>
      </c>
      <c r="G8" s="38" t="s">
        <v>28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50.25" customHeight="1">
      <c r="A9" s="39">
        <v>1.0</v>
      </c>
      <c r="B9" s="40" t="s">
        <v>50</v>
      </c>
      <c r="C9" s="41" t="s">
        <v>51</v>
      </c>
      <c r="D9" s="40" t="s">
        <v>52</v>
      </c>
      <c r="E9" s="42"/>
      <c r="F9" s="42"/>
      <c r="G9" s="42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27"/>
      <c r="Y9" s="27"/>
      <c r="Z9" s="27"/>
      <c r="AA9" s="27"/>
    </row>
    <row r="10" ht="114.0" customHeight="1">
      <c r="A10" s="44">
        <f t="shared" ref="A10:A19" si="1">1+A9</f>
        <v>2</v>
      </c>
      <c r="B10" s="40" t="s">
        <v>53</v>
      </c>
      <c r="C10" s="41" t="s">
        <v>54</v>
      </c>
      <c r="D10" s="40" t="s">
        <v>55</v>
      </c>
      <c r="E10" s="42"/>
      <c r="F10" s="42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27"/>
      <c r="Y10" s="27"/>
      <c r="Z10" s="27"/>
      <c r="AA10" s="27"/>
    </row>
    <row r="11" ht="51.0" customHeight="1">
      <c r="A11" s="44">
        <f t="shared" si="1"/>
        <v>3</v>
      </c>
      <c r="B11" s="40" t="s">
        <v>56</v>
      </c>
      <c r="C11" s="41" t="s">
        <v>51</v>
      </c>
      <c r="D11" s="40" t="s">
        <v>57</v>
      </c>
      <c r="E11" s="45"/>
      <c r="F11" s="45"/>
      <c r="G11" s="45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6.5" customHeight="1">
      <c r="A12" s="44">
        <f t="shared" si="1"/>
        <v>4</v>
      </c>
      <c r="B12" s="41"/>
      <c r="C12" s="46"/>
      <c r="D12" s="46"/>
      <c r="E12" s="42"/>
      <c r="F12" s="42"/>
      <c r="G12" s="42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6.5" customHeight="1">
      <c r="A13" s="44">
        <f t="shared" si="1"/>
        <v>5</v>
      </c>
      <c r="B13" s="46"/>
      <c r="C13" s="46"/>
      <c r="D13" s="46"/>
      <c r="E13" s="42"/>
      <c r="F13" s="42"/>
      <c r="G13" s="42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6.5" customHeight="1">
      <c r="A14" s="44">
        <f t="shared" si="1"/>
        <v>6</v>
      </c>
      <c r="B14" s="47"/>
      <c r="C14" s="47"/>
      <c r="D14" s="47"/>
      <c r="E14" s="42"/>
      <c r="F14" s="42"/>
      <c r="G14" s="4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4.25" customHeight="1">
      <c r="A15" s="44">
        <f t="shared" si="1"/>
        <v>7</v>
      </c>
      <c r="B15" s="46"/>
      <c r="C15" s="46"/>
      <c r="D15" s="46"/>
      <c r="E15" s="42"/>
      <c r="F15" s="42"/>
      <c r="G15" s="42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4.25" customHeight="1">
      <c r="A16" s="44">
        <f t="shared" si="1"/>
        <v>8</v>
      </c>
      <c r="B16" s="46"/>
      <c r="C16" s="46"/>
      <c r="D16" s="46"/>
      <c r="E16" s="45"/>
      <c r="F16" s="45"/>
      <c r="G16" s="45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4.25" customHeight="1">
      <c r="A17" s="44">
        <f t="shared" si="1"/>
        <v>9</v>
      </c>
      <c r="B17" s="40"/>
      <c r="C17" s="41"/>
      <c r="D17" s="40"/>
      <c r="E17" s="42"/>
      <c r="F17" s="42"/>
      <c r="G17" s="4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4.25" customHeight="1">
      <c r="A18" s="44">
        <f t="shared" si="1"/>
        <v>10</v>
      </c>
      <c r="B18" s="40"/>
      <c r="C18" s="41"/>
      <c r="D18" s="40"/>
      <c r="E18" s="42"/>
      <c r="F18" s="42"/>
      <c r="G18" s="42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4.25" customHeight="1">
      <c r="A19" s="44">
        <f t="shared" si="1"/>
        <v>11</v>
      </c>
      <c r="B19" s="40"/>
      <c r="C19" s="41"/>
      <c r="D19" s="40"/>
      <c r="E19" s="42"/>
      <c r="F19" s="42"/>
      <c r="G19" s="42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6">
    <mergeCell ref="A1:C1"/>
    <mergeCell ref="A2:C2"/>
    <mergeCell ref="A3:C3"/>
    <mergeCell ref="B4:C4"/>
    <mergeCell ref="B5:C5"/>
    <mergeCell ref="B6:C6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53.14"/>
    <col customWidth="1" min="3" max="3" width="27.14"/>
    <col customWidth="1" min="4" max="4" width="34.57"/>
    <col customWidth="1" min="5" max="5" width="38.71"/>
    <col customWidth="1" min="6" max="6" width="14.57"/>
    <col customWidth="1" min="7" max="7" width="12.71"/>
    <col customWidth="1" min="8" max="27" width="9.14"/>
  </cols>
  <sheetData>
    <row r="1" ht="15.0" customHeight="1">
      <c r="A1" s="23" t="s">
        <v>3</v>
      </c>
      <c r="B1" s="24"/>
      <c r="C1" s="25"/>
      <c r="D1" s="26"/>
      <c r="E1" s="26"/>
      <c r="F1" s="26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4.25" customHeight="1">
      <c r="A2" s="28">
        <f>Capa!D7</f>
        <v>3</v>
      </c>
      <c r="B2" s="29"/>
      <c r="C2" s="30"/>
      <c r="D2" s="26"/>
      <c r="E2" s="26"/>
      <c r="F2" s="26"/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31" t="s">
        <v>9</v>
      </c>
      <c r="B3" s="29"/>
      <c r="C3" s="30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6.5" customHeight="1">
      <c r="A4" s="32" t="s">
        <v>17</v>
      </c>
      <c r="B4" s="33" t="s">
        <v>58</v>
      </c>
      <c r="C4" s="30"/>
      <c r="D4" s="49"/>
      <c r="E4" s="26"/>
      <c r="F4" s="26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32" t="s">
        <v>18</v>
      </c>
      <c r="B5" s="33" t="s">
        <v>19</v>
      </c>
      <c r="C5" s="30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0" customHeight="1">
      <c r="A6" s="34" t="s">
        <v>20</v>
      </c>
      <c r="B6" s="35" t="s">
        <v>21</v>
      </c>
      <c r="C6" s="30"/>
      <c r="D6" s="26"/>
      <c r="E6" s="26"/>
      <c r="F6" s="26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0" customHeight="1">
      <c r="A7" s="26"/>
      <c r="B7" s="26"/>
      <c r="C7" s="26"/>
      <c r="D7" s="49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0" customHeight="1">
      <c r="A8" s="36" t="s">
        <v>22</v>
      </c>
      <c r="B8" s="36" t="s">
        <v>23</v>
      </c>
      <c r="C8" s="36" t="s">
        <v>49</v>
      </c>
      <c r="D8" s="36" t="s">
        <v>25</v>
      </c>
      <c r="E8" s="36" t="s">
        <v>26</v>
      </c>
      <c r="F8" s="38" t="s">
        <v>27</v>
      </c>
      <c r="G8" s="38" t="s">
        <v>28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16.5" customHeight="1">
      <c r="A9" s="39">
        <v>1.0</v>
      </c>
      <c r="B9" s="40" t="s">
        <v>59</v>
      </c>
      <c r="C9" s="41" t="s">
        <v>60</v>
      </c>
      <c r="D9" s="40" t="s">
        <v>61</v>
      </c>
      <c r="E9" s="42"/>
      <c r="F9" s="42"/>
      <c r="G9" s="42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27"/>
      <c r="Y9" s="27"/>
      <c r="Z9" s="27"/>
      <c r="AA9" s="27"/>
    </row>
    <row r="10" ht="16.5" customHeight="1">
      <c r="A10" s="44">
        <f t="shared" ref="A10:A19" si="1">1+A9</f>
        <v>2</v>
      </c>
      <c r="B10" s="40" t="s">
        <v>62</v>
      </c>
      <c r="C10" s="41" t="s">
        <v>63</v>
      </c>
      <c r="D10" s="40" t="s">
        <v>64</v>
      </c>
      <c r="E10" s="42"/>
      <c r="F10" s="42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27"/>
      <c r="Y10" s="27"/>
      <c r="Z10" s="27"/>
      <c r="AA10" s="27"/>
    </row>
    <row r="11" ht="16.5" customHeight="1">
      <c r="A11" s="44">
        <f t="shared" si="1"/>
        <v>3</v>
      </c>
      <c r="B11" s="40" t="s">
        <v>65</v>
      </c>
      <c r="C11" s="41" t="s">
        <v>66</v>
      </c>
      <c r="D11" s="40" t="s">
        <v>67</v>
      </c>
      <c r="E11" s="45"/>
      <c r="F11" s="45"/>
      <c r="G11" s="45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6.5" customHeight="1">
      <c r="A12" s="44">
        <f t="shared" si="1"/>
        <v>4</v>
      </c>
      <c r="B12" s="46"/>
      <c r="C12" s="46"/>
      <c r="D12" s="46"/>
      <c r="E12" s="42"/>
      <c r="F12" s="42"/>
      <c r="G12" s="42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6.5" customHeight="1">
      <c r="A13" s="44">
        <f t="shared" si="1"/>
        <v>5</v>
      </c>
      <c r="B13" s="46"/>
      <c r="C13" s="46"/>
      <c r="D13" s="46"/>
      <c r="E13" s="42"/>
      <c r="F13" s="42"/>
      <c r="G13" s="42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6.5" customHeight="1">
      <c r="A14" s="44">
        <f t="shared" si="1"/>
        <v>6</v>
      </c>
      <c r="B14" s="47"/>
      <c r="C14" s="47"/>
      <c r="D14" s="47"/>
      <c r="E14" s="42"/>
      <c r="F14" s="42"/>
      <c r="G14" s="4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4.25" customHeight="1">
      <c r="A15" s="44">
        <f t="shared" si="1"/>
        <v>7</v>
      </c>
      <c r="B15" s="46"/>
      <c r="C15" s="46"/>
      <c r="D15" s="46"/>
      <c r="E15" s="42"/>
      <c r="F15" s="42"/>
      <c r="G15" s="42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4.25" customHeight="1">
      <c r="A16" s="44">
        <f t="shared" si="1"/>
        <v>8</v>
      </c>
      <c r="B16" s="46"/>
      <c r="C16" s="46"/>
      <c r="D16" s="46"/>
      <c r="E16" s="45"/>
      <c r="F16" s="45"/>
      <c r="G16" s="45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4.25" customHeight="1">
      <c r="A17" s="44">
        <f t="shared" si="1"/>
        <v>9</v>
      </c>
      <c r="B17" s="46"/>
      <c r="C17" s="46"/>
      <c r="D17" s="46"/>
      <c r="E17" s="42"/>
      <c r="F17" s="42"/>
      <c r="G17" s="4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4.25" customHeight="1">
      <c r="A18" s="44">
        <f t="shared" si="1"/>
        <v>10</v>
      </c>
      <c r="B18" s="46"/>
      <c r="C18" s="46"/>
      <c r="D18" s="46"/>
      <c r="E18" s="42"/>
      <c r="F18" s="42"/>
      <c r="G18" s="42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4.25" customHeight="1">
      <c r="A19" s="44">
        <f t="shared" si="1"/>
        <v>11</v>
      </c>
      <c r="B19" s="47"/>
      <c r="C19" s="47"/>
      <c r="D19" s="47"/>
      <c r="E19" s="42"/>
      <c r="F19" s="42"/>
      <c r="G19" s="42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6">
    <mergeCell ref="A1:C1"/>
    <mergeCell ref="A2:C2"/>
    <mergeCell ref="A3:C3"/>
    <mergeCell ref="B4:C4"/>
    <mergeCell ref="B5:C5"/>
    <mergeCell ref="B6:C6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66.86"/>
    <col customWidth="1" min="3" max="3" width="42.14"/>
    <col customWidth="1" min="4" max="4" width="43.14"/>
    <col customWidth="1" min="5" max="5" width="38.71"/>
    <col customWidth="1" min="6" max="6" width="14.57"/>
    <col customWidth="1" min="7" max="7" width="12.71"/>
    <col customWidth="1" min="8" max="27" width="9.14"/>
  </cols>
  <sheetData>
    <row r="1" ht="15.0" customHeight="1">
      <c r="A1" s="48" t="s">
        <v>3</v>
      </c>
      <c r="B1" s="24"/>
      <c r="C1" s="25"/>
      <c r="D1" s="26"/>
      <c r="E1" s="26"/>
      <c r="F1" s="26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4.25" customHeight="1">
      <c r="A2" s="28">
        <f>Capa!D8</f>
        <v>4</v>
      </c>
      <c r="B2" s="29"/>
      <c r="C2" s="30"/>
      <c r="D2" s="26"/>
      <c r="E2" s="26"/>
      <c r="F2" s="26"/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31" t="s">
        <v>10</v>
      </c>
      <c r="B3" s="29"/>
      <c r="C3" s="30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6.5" customHeight="1">
      <c r="A4" s="32" t="s">
        <v>17</v>
      </c>
      <c r="B4" s="33" t="s">
        <v>16</v>
      </c>
      <c r="C4" s="30"/>
      <c r="D4" s="26"/>
      <c r="E4" s="26"/>
      <c r="F4" s="26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32" t="s">
        <v>18</v>
      </c>
      <c r="B5" s="33" t="s">
        <v>19</v>
      </c>
      <c r="C5" s="30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0" customHeight="1">
      <c r="A6" s="34" t="s">
        <v>20</v>
      </c>
      <c r="B6" s="35" t="s">
        <v>21</v>
      </c>
      <c r="C6" s="30"/>
      <c r="D6" s="26"/>
      <c r="E6" s="26"/>
      <c r="F6" s="26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0" customHeight="1">
      <c r="A7" s="26"/>
      <c r="B7" s="26"/>
      <c r="C7" s="26"/>
      <c r="D7" s="26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0" customHeight="1">
      <c r="A8" s="36" t="s">
        <v>22</v>
      </c>
      <c r="B8" s="36" t="s">
        <v>23</v>
      </c>
      <c r="C8" s="36" t="s">
        <v>49</v>
      </c>
      <c r="D8" s="36" t="s">
        <v>25</v>
      </c>
      <c r="E8" s="36" t="s">
        <v>26</v>
      </c>
      <c r="F8" s="38" t="s">
        <v>27</v>
      </c>
      <c r="G8" s="38" t="s">
        <v>28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63.75" customHeight="1">
      <c r="A9" s="39">
        <v>1.0</v>
      </c>
      <c r="B9" s="40" t="s">
        <v>68</v>
      </c>
      <c r="C9" s="41" t="s">
        <v>69</v>
      </c>
      <c r="D9" s="40" t="s">
        <v>70</v>
      </c>
      <c r="E9" s="42"/>
      <c r="F9" s="42"/>
      <c r="G9" s="42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27"/>
      <c r="Y9" s="27"/>
      <c r="Z9" s="27"/>
      <c r="AA9" s="27"/>
    </row>
    <row r="10" ht="110.25" customHeight="1">
      <c r="A10" s="44">
        <f t="shared" ref="A10:A19" si="1">1+A9</f>
        <v>2</v>
      </c>
      <c r="B10" s="40" t="s">
        <v>71</v>
      </c>
      <c r="C10" s="41" t="s">
        <v>72</v>
      </c>
      <c r="D10" s="40" t="s">
        <v>73</v>
      </c>
      <c r="E10" s="42"/>
      <c r="F10" s="42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27"/>
      <c r="Y10" s="27"/>
      <c r="Z10" s="27"/>
      <c r="AA10" s="27"/>
    </row>
    <row r="11" ht="123.75" customHeight="1">
      <c r="A11" s="44">
        <f t="shared" si="1"/>
        <v>3</v>
      </c>
      <c r="B11" s="40" t="s">
        <v>74</v>
      </c>
      <c r="C11" s="41" t="s">
        <v>75</v>
      </c>
      <c r="D11" s="40" t="s">
        <v>76</v>
      </c>
      <c r="E11" s="45"/>
      <c r="F11" s="45"/>
      <c r="G11" s="45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61.5" customHeight="1">
      <c r="A12" s="44">
        <f t="shared" si="1"/>
        <v>4</v>
      </c>
      <c r="B12" s="40" t="s">
        <v>77</v>
      </c>
      <c r="C12" s="41" t="s">
        <v>69</v>
      </c>
      <c r="D12" s="40" t="s">
        <v>78</v>
      </c>
      <c r="E12" s="45"/>
      <c r="F12" s="45"/>
      <c r="G12" s="45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6.5" customHeight="1">
      <c r="A13" s="44">
        <f t="shared" si="1"/>
        <v>5</v>
      </c>
      <c r="B13" s="46"/>
      <c r="C13" s="46"/>
      <c r="D13" s="46"/>
      <c r="E13" s="42"/>
      <c r="F13" s="42"/>
      <c r="G13" s="42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6.5" customHeight="1">
      <c r="A14" s="44">
        <f t="shared" si="1"/>
        <v>6</v>
      </c>
      <c r="B14" s="47"/>
      <c r="C14" s="47"/>
      <c r="D14" s="47"/>
      <c r="E14" s="42"/>
      <c r="F14" s="42"/>
      <c r="G14" s="4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4.25" customHeight="1">
      <c r="A15" s="44">
        <f t="shared" si="1"/>
        <v>7</v>
      </c>
      <c r="B15" s="46"/>
      <c r="C15" s="46"/>
      <c r="D15" s="46"/>
      <c r="E15" s="42"/>
      <c r="F15" s="42"/>
      <c r="G15" s="42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4.25" customHeight="1">
      <c r="A16" s="44">
        <f t="shared" si="1"/>
        <v>8</v>
      </c>
      <c r="B16" s="46"/>
      <c r="C16" s="46"/>
      <c r="D16" s="46"/>
      <c r="E16" s="45"/>
      <c r="F16" s="45"/>
      <c r="G16" s="45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4.25" customHeight="1">
      <c r="A17" s="44">
        <f t="shared" si="1"/>
        <v>9</v>
      </c>
      <c r="B17" s="46"/>
      <c r="C17" s="46"/>
      <c r="D17" s="46"/>
      <c r="E17" s="42"/>
      <c r="F17" s="42"/>
      <c r="G17" s="4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4.25" customHeight="1">
      <c r="A18" s="44">
        <f t="shared" si="1"/>
        <v>10</v>
      </c>
      <c r="B18" s="46"/>
      <c r="C18" s="46"/>
      <c r="D18" s="46"/>
      <c r="E18" s="42"/>
      <c r="F18" s="42"/>
      <c r="G18" s="42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4.25" customHeight="1">
      <c r="A19" s="44">
        <f t="shared" si="1"/>
        <v>11</v>
      </c>
      <c r="B19" s="47"/>
      <c r="C19" s="47"/>
      <c r="D19" s="47"/>
      <c r="E19" s="42"/>
      <c r="F19" s="42"/>
      <c r="G19" s="42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6">
    <mergeCell ref="A1:C1"/>
    <mergeCell ref="A2:C2"/>
    <mergeCell ref="A3:C3"/>
    <mergeCell ref="B4:C4"/>
    <mergeCell ref="B5:C5"/>
    <mergeCell ref="B6:C6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56.86"/>
    <col customWidth="1" min="3" max="4" width="36.57"/>
    <col customWidth="1" min="5" max="5" width="38.71"/>
    <col customWidth="1" min="6" max="6" width="14.57"/>
    <col customWidth="1" min="7" max="7" width="12.71"/>
    <col customWidth="1" min="8" max="27" width="9.14"/>
  </cols>
  <sheetData>
    <row r="1" ht="15.0" customHeight="1">
      <c r="A1" s="48" t="s">
        <v>3</v>
      </c>
      <c r="B1" s="24"/>
      <c r="C1" s="25"/>
      <c r="D1" s="26"/>
      <c r="E1" s="26"/>
      <c r="F1" s="26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4.25" customHeight="1">
      <c r="A2" s="28">
        <f>Capa!D9</f>
        <v>5</v>
      </c>
      <c r="B2" s="29"/>
      <c r="C2" s="30"/>
      <c r="D2" s="26"/>
      <c r="E2" s="26"/>
      <c r="F2" s="26"/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31" t="s">
        <v>11</v>
      </c>
      <c r="B3" s="29"/>
      <c r="C3" s="30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6.5" customHeight="1">
      <c r="A4" s="32" t="s">
        <v>17</v>
      </c>
      <c r="B4" s="33" t="s">
        <v>16</v>
      </c>
      <c r="C4" s="30"/>
      <c r="D4" s="26"/>
      <c r="E4" s="26"/>
      <c r="F4" s="26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32" t="s">
        <v>18</v>
      </c>
      <c r="B5" s="33" t="s">
        <v>19</v>
      </c>
      <c r="C5" s="30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0" customHeight="1">
      <c r="A6" s="34" t="s">
        <v>20</v>
      </c>
      <c r="B6" s="35" t="s">
        <v>21</v>
      </c>
      <c r="C6" s="30"/>
      <c r="D6" s="26"/>
      <c r="E6" s="26"/>
      <c r="F6" s="26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0" customHeight="1">
      <c r="A7" s="26"/>
      <c r="B7" s="26"/>
      <c r="C7" s="26"/>
      <c r="D7" s="26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0" customHeight="1">
      <c r="A8" s="36" t="s">
        <v>22</v>
      </c>
      <c r="B8" s="36" t="s">
        <v>23</v>
      </c>
      <c r="C8" s="36" t="s">
        <v>49</v>
      </c>
      <c r="D8" s="36" t="s">
        <v>25</v>
      </c>
      <c r="E8" s="36" t="s">
        <v>26</v>
      </c>
      <c r="F8" s="38" t="s">
        <v>27</v>
      </c>
      <c r="G8" s="38" t="s">
        <v>28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60.0" customHeight="1">
      <c r="A9" s="39">
        <v>1.0</v>
      </c>
      <c r="B9" s="40" t="s">
        <v>79</v>
      </c>
      <c r="C9" s="41" t="s">
        <v>80</v>
      </c>
      <c r="D9" s="40" t="s">
        <v>81</v>
      </c>
      <c r="E9" s="42"/>
      <c r="F9" s="42"/>
      <c r="G9" s="42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27"/>
      <c r="Y9" s="27"/>
      <c r="Z9" s="27"/>
      <c r="AA9" s="27"/>
    </row>
    <row r="10" ht="51.0" customHeight="1">
      <c r="A10" s="44">
        <f t="shared" ref="A10:A19" si="1">1+A9</f>
        <v>2</v>
      </c>
      <c r="B10" s="40" t="s">
        <v>82</v>
      </c>
      <c r="C10" s="41" t="s">
        <v>83</v>
      </c>
      <c r="D10" s="40" t="s">
        <v>84</v>
      </c>
      <c r="E10" s="42"/>
      <c r="F10" s="42"/>
      <c r="G10" s="42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27"/>
      <c r="Y10" s="27"/>
      <c r="Z10" s="27"/>
      <c r="AA10" s="27"/>
    </row>
    <row r="11" ht="51.0" customHeight="1">
      <c r="A11" s="44">
        <f t="shared" si="1"/>
        <v>3</v>
      </c>
      <c r="B11" s="40" t="s">
        <v>85</v>
      </c>
      <c r="C11" s="41" t="s">
        <v>86</v>
      </c>
      <c r="D11" s="40" t="s">
        <v>87</v>
      </c>
      <c r="E11" s="45"/>
      <c r="F11" s="45"/>
      <c r="G11" s="45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61.5" customHeight="1">
      <c r="A12" s="44">
        <f t="shared" si="1"/>
        <v>4</v>
      </c>
      <c r="B12" s="40" t="s">
        <v>38</v>
      </c>
      <c r="C12" s="41" t="s">
        <v>88</v>
      </c>
      <c r="D12" s="40" t="s">
        <v>89</v>
      </c>
      <c r="E12" s="45"/>
      <c r="F12" s="45"/>
      <c r="G12" s="45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98.25" customHeight="1">
      <c r="A13" s="44">
        <f t="shared" si="1"/>
        <v>5</v>
      </c>
      <c r="B13" s="40" t="s">
        <v>90</v>
      </c>
      <c r="C13" s="41" t="s">
        <v>54</v>
      </c>
      <c r="D13" s="40" t="s">
        <v>91</v>
      </c>
      <c r="E13" s="42"/>
      <c r="F13" s="42"/>
      <c r="G13" s="42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27"/>
      <c r="Y13" s="27"/>
      <c r="Z13" s="27"/>
      <c r="AA13" s="27"/>
    </row>
    <row r="14" ht="16.5" customHeight="1">
      <c r="A14" s="44">
        <f t="shared" si="1"/>
        <v>6</v>
      </c>
      <c r="B14" s="47"/>
      <c r="C14" s="47"/>
      <c r="D14" s="47"/>
      <c r="E14" s="42"/>
      <c r="F14" s="42"/>
      <c r="G14" s="4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4.25" customHeight="1">
      <c r="A15" s="44">
        <f t="shared" si="1"/>
        <v>7</v>
      </c>
      <c r="B15" s="46"/>
      <c r="C15" s="46"/>
      <c r="D15" s="46"/>
      <c r="E15" s="42"/>
      <c r="F15" s="42"/>
      <c r="G15" s="42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4.25" customHeight="1">
      <c r="A16" s="44">
        <f t="shared" si="1"/>
        <v>8</v>
      </c>
      <c r="B16" s="40"/>
      <c r="C16" s="41"/>
      <c r="D16" s="40"/>
      <c r="E16" s="45"/>
      <c r="F16" s="45"/>
      <c r="G16" s="45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4.25" customHeight="1">
      <c r="A17" s="44">
        <f t="shared" si="1"/>
        <v>9</v>
      </c>
      <c r="B17" s="40"/>
      <c r="C17" s="41"/>
      <c r="D17" s="40"/>
      <c r="E17" s="42"/>
      <c r="F17" s="42"/>
      <c r="G17" s="4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4.25" customHeight="1">
      <c r="A18" s="44">
        <f t="shared" si="1"/>
        <v>10</v>
      </c>
      <c r="B18" s="40"/>
      <c r="C18" s="41"/>
      <c r="D18" s="40"/>
      <c r="E18" s="42"/>
      <c r="F18" s="42"/>
      <c r="G18" s="42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4.25" customHeight="1">
      <c r="A19" s="44">
        <f t="shared" si="1"/>
        <v>11</v>
      </c>
      <c r="B19" s="40"/>
      <c r="C19" s="41"/>
      <c r="D19" s="40"/>
      <c r="E19" s="42"/>
      <c r="F19" s="42"/>
      <c r="G19" s="42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6">
    <mergeCell ref="A1:C1"/>
    <mergeCell ref="A2:C2"/>
    <mergeCell ref="A3:C3"/>
    <mergeCell ref="B4:C4"/>
    <mergeCell ref="B5:C5"/>
    <mergeCell ref="B6:C6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86"/>
    <col customWidth="1" min="2" max="2" width="55.43"/>
    <col customWidth="1" min="3" max="3" width="31.86"/>
    <col customWidth="1" min="4" max="4" width="40.29"/>
    <col customWidth="1" min="5" max="5" width="38.71"/>
    <col customWidth="1" min="6" max="6" width="14.57"/>
    <col customWidth="1" min="7" max="7" width="12.71"/>
    <col customWidth="1" min="8" max="27" width="9.14"/>
  </cols>
  <sheetData>
    <row r="1" ht="15.0" customHeight="1">
      <c r="A1" s="48" t="s">
        <v>3</v>
      </c>
      <c r="B1" s="24"/>
      <c r="C1" s="25"/>
      <c r="D1" s="26"/>
      <c r="E1" s="26"/>
      <c r="F1" s="26"/>
      <c r="G1" s="26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4.25" customHeight="1">
      <c r="A2" s="28">
        <f>Capa!D10</f>
        <v>3</v>
      </c>
      <c r="B2" s="29"/>
      <c r="C2" s="30"/>
      <c r="D2" s="26"/>
      <c r="E2" s="26"/>
      <c r="F2" s="26"/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31" t="s">
        <v>12</v>
      </c>
      <c r="B3" s="29"/>
      <c r="C3" s="30"/>
      <c r="D3" s="26"/>
      <c r="E3" s="26"/>
      <c r="F3" s="26"/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6.5" customHeight="1">
      <c r="A4" s="32" t="s">
        <v>17</v>
      </c>
      <c r="B4" s="33" t="s">
        <v>16</v>
      </c>
      <c r="C4" s="30"/>
      <c r="D4" s="26"/>
      <c r="E4" s="26"/>
      <c r="F4" s="26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32" t="s">
        <v>18</v>
      </c>
      <c r="B5" s="33" t="s">
        <v>19</v>
      </c>
      <c r="C5" s="30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0" customHeight="1">
      <c r="A6" s="34" t="s">
        <v>20</v>
      </c>
      <c r="B6" s="50" t="s">
        <v>92</v>
      </c>
      <c r="C6" s="30"/>
      <c r="D6" s="26"/>
      <c r="E6" s="26"/>
      <c r="F6" s="26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0" customHeight="1">
      <c r="A7" s="26"/>
      <c r="B7" s="26"/>
      <c r="C7" s="26"/>
      <c r="D7" s="26"/>
      <c r="E7" s="26"/>
      <c r="F7" s="26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0" customHeight="1">
      <c r="A8" s="36" t="s">
        <v>22</v>
      </c>
      <c r="B8" s="36" t="s">
        <v>23</v>
      </c>
      <c r="C8" s="36" t="s">
        <v>49</v>
      </c>
      <c r="D8" s="36" t="s">
        <v>25</v>
      </c>
      <c r="E8" s="36" t="s">
        <v>26</v>
      </c>
      <c r="F8" s="38" t="s">
        <v>27</v>
      </c>
      <c r="G8" s="38" t="s">
        <v>28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63.0" customHeight="1">
      <c r="A9" s="51">
        <v>1.0</v>
      </c>
      <c r="B9" s="40" t="s">
        <v>93</v>
      </c>
      <c r="C9" s="41" t="s">
        <v>94</v>
      </c>
      <c r="D9" s="41" t="s">
        <v>95</v>
      </c>
      <c r="E9" s="45"/>
      <c r="F9" s="45"/>
      <c r="G9" s="45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ht="66.0" customHeight="1">
      <c r="A10" s="44">
        <f t="shared" ref="A10:A19" si="1">1+A9</f>
        <v>2</v>
      </c>
      <c r="B10" s="41" t="s">
        <v>96</v>
      </c>
      <c r="C10" s="41" t="s">
        <v>97</v>
      </c>
      <c r="D10" s="41" t="s">
        <v>98</v>
      </c>
      <c r="E10" s="42"/>
      <c r="F10" s="42"/>
      <c r="G10" s="42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ht="75.0" customHeight="1">
      <c r="A11" s="44">
        <f t="shared" si="1"/>
        <v>3</v>
      </c>
      <c r="B11" s="52" t="s">
        <v>99</v>
      </c>
      <c r="C11" s="41" t="s">
        <v>100</v>
      </c>
      <c r="D11" s="41" t="s">
        <v>101</v>
      </c>
      <c r="E11" s="42"/>
      <c r="F11" s="42"/>
      <c r="G11" s="42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4.25" customHeight="1">
      <c r="A12" s="44">
        <f t="shared" si="1"/>
        <v>4</v>
      </c>
      <c r="B12" s="46"/>
      <c r="C12" s="46"/>
      <c r="D12" s="46"/>
      <c r="E12" s="42"/>
      <c r="F12" s="42"/>
      <c r="G12" s="42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4.25" customHeight="1">
      <c r="A13" s="44">
        <f t="shared" si="1"/>
        <v>5</v>
      </c>
      <c r="B13" s="46"/>
      <c r="C13" s="46"/>
      <c r="D13" s="46"/>
      <c r="E13" s="45"/>
      <c r="F13" s="45"/>
      <c r="G13" s="45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4.25" customHeight="1">
      <c r="A14" s="44">
        <f t="shared" si="1"/>
        <v>6</v>
      </c>
      <c r="B14" s="46"/>
      <c r="C14" s="46"/>
      <c r="D14" s="46"/>
      <c r="E14" s="42"/>
      <c r="F14" s="42"/>
      <c r="G14" s="4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4.25" customHeight="1">
      <c r="A15" s="44">
        <f t="shared" si="1"/>
        <v>7</v>
      </c>
      <c r="B15" s="46"/>
      <c r="C15" s="46"/>
      <c r="D15" s="46"/>
      <c r="E15" s="42"/>
      <c r="F15" s="42"/>
      <c r="G15" s="42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4.25" customHeight="1">
      <c r="A16" s="44">
        <f t="shared" si="1"/>
        <v>8</v>
      </c>
      <c r="B16" s="46"/>
      <c r="C16" s="46"/>
      <c r="D16" s="46"/>
      <c r="E16" s="45"/>
      <c r="F16" s="45"/>
      <c r="G16" s="45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4.25" customHeight="1">
      <c r="A17" s="44">
        <f t="shared" si="1"/>
        <v>9</v>
      </c>
      <c r="B17" s="46"/>
      <c r="C17" s="46"/>
      <c r="D17" s="46"/>
      <c r="E17" s="42"/>
      <c r="F17" s="42"/>
      <c r="G17" s="4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4.25" customHeight="1">
      <c r="A18" s="44">
        <f t="shared" si="1"/>
        <v>10</v>
      </c>
      <c r="B18" s="46"/>
      <c r="C18" s="46"/>
      <c r="D18" s="46"/>
      <c r="E18" s="42"/>
      <c r="F18" s="42"/>
      <c r="G18" s="42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4.25" customHeight="1">
      <c r="A19" s="44">
        <f t="shared" si="1"/>
        <v>11</v>
      </c>
      <c r="B19" s="47"/>
      <c r="C19" s="47"/>
      <c r="D19" s="47"/>
      <c r="E19" s="42"/>
      <c r="F19" s="42"/>
      <c r="G19" s="42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6">
    <mergeCell ref="A1:C1"/>
    <mergeCell ref="A2:C2"/>
    <mergeCell ref="A3:C3"/>
    <mergeCell ref="B4:C4"/>
    <mergeCell ref="B5:C5"/>
    <mergeCell ref="B6:C6"/>
  </mergeCells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